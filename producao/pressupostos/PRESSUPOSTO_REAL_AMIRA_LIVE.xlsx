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1" fillId="0" borderId="0" applyAlignment="1" pivotButton="0" quotePrefix="0" xfId="0">
      <alignment horizontal="right"/>
    </xf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3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AMIRA — Live profissional · captação, operação e transmissão</t>
        </is>
      </c>
    </row>
    <row r="9">
      <c r="B9" s="5" t="inlineStr">
        <is>
          <t>Cliente: AMIRA   ·   Período: evento 8h às 13h · 1 diária · montagem, configuração, testes, operação e desmontagem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46254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46254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Live AMIRA — valor com desconto de parceiro</t>
        </is>
      </c>
      <c r="C17" s="13" t="n">
        <v>6791.5</v>
      </c>
      <c r="D17" s="14" t="n"/>
      <c r="E17" s="15" t="inlineStr">
        <is>
          <t>A RECEBER</t>
        </is>
      </c>
      <c r="F17" s="12" t="inlineStr">
        <is>
          <t>tabela 7.990,00 com 15% de desconto parceiro Estúdio São Paulo (−1.198,50) · orçamento de 06/08/2026 · imposto em 16% por padrão da casa — CONFIRMAR se este job sai com nota</t>
        </is>
      </c>
    </row>
    <row r="18">
      <c r="B18" s="12" t="n"/>
      <c r="C18" s="16" t="n"/>
      <c r="D18" s="14" t="n"/>
      <c r="E18" s="15" t="n"/>
      <c r="F18" s="12" t="n"/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7" t="inlineStr">
        <is>
          <t>TOTAL ENTRADAS (BRUTO)</t>
        </is>
      </c>
      <c r="C21" s="13">
        <f>SUM(C17:C20)</f>
        <v/>
      </c>
    </row>
    <row r="22">
      <c r="B22" s="12" t="inlineStr">
        <is>
          <t>IMPOSTO (%)  ← edite aqui se mudar</t>
        </is>
      </c>
      <c r="C22" s="18" t="n">
        <v>0.16</v>
      </c>
      <c r="D22" s="19" t="inlineStr">
        <is>
          <t>COMISSÃO (%) sobre a entrada líquida  ← edite aqui</t>
        </is>
      </c>
      <c r="F22" s="18" t="n">
        <v>0.15</v>
      </c>
    </row>
    <row r="23">
      <c r="B23" s="12" t="inlineStr">
        <is>
          <t>(−) IMPOSTO</t>
        </is>
      </c>
      <c r="C23" s="13">
        <f>ROUND(C21*C22,2)</f>
        <v/>
      </c>
    </row>
    <row r="24">
      <c r="B24" s="20" t="inlineStr">
        <is>
          <t>(=) ENTRADA LÍQUIDA — é com isso que se paga tudo</t>
        </is>
      </c>
      <c r="C24" s="21">
        <f>C21-C23</f>
        <v/>
      </c>
    </row>
    <row r="26" ht="22" customHeight="1">
      <c r="B26" s="10" t="inlineStr">
        <is>
          <t>2.  SAÍDAS POR ÁREA — vem sozinho da aba SAÍDAS</t>
        </is>
      </c>
    </row>
    <row r="27" ht="28" customHeight="1">
      <c r="B27" s="11" t="inlineStr">
        <is>
          <t>ÁREA</t>
        </is>
      </c>
      <c r="C27" s="11" t="inlineStr">
        <is>
          <t>VALOR</t>
        </is>
      </c>
      <c r="D27" s="11" t="inlineStr">
        <is>
          <t>% DA LÍQUIDA</t>
        </is>
      </c>
      <c r="E27" s="11" t="inlineStr">
        <is>
          <t>PAGO</t>
        </is>
      </c>
      <c r="F27" s="11" t="inlineStr">
        <is>
          <t>A PAGAR</t>
        </is>
      </c>
    </row>
    <row r="28">
      <c r="B28" s="12">
        <f>IF(AREAS!$A$2="","",AREAS!$A$2)</f>
        <v/>
      </c>
      <c r="C28" s="13">
        <f>IF(B28="","",SUMIF(SAIDAS!$B$6:$B$500,B28,SAIDAS!$G$6:$G$500))</f>
        <v/>
      </c>
      <c r="D28" s="22">
        <f>IF(OR(B28="",$C$24=0),"",C28/$C$24)</f>
        <v/>
      </c>
      <c r="E28" s="13">
        <f>IF(B28="","",SUMIFS(SAIDAS!$G$6:$G$500,SAIDAS!$B$6:$B$500,B28,SAIDAS!$H$6:$H$500,"PAGO"))</f>
        <v/>
      </c>
      <c r="F28" s="13">
        <f>IF(B28="","",C28-E28)</f>
        <v/>
      </c>
    </row>
    <row r="29">
      <c r="B29" s="12">
        <f>IF(AREAS!$A$3="","",AREAS!$A$3)</f>
        <v/>
      </c>
      <c r="C29" s="13">
        <f>IF(B29="","",SUMIF(SAIDAS!$B$6:$B$500,B29,SAIDAS!$G$6:$G$500))</f>
        <v/>
      </c>
      <c r="D29" s="22">
        <f>IF(OR(B29="",$C$24=0),"",C29/$C$24)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IF(AREAS!$A$4="","",AREAS!$A$4)</f>
        <v/>
      </c>
      <c r="C30" s="13">
        <f>IF(B30="","",SUMIF(SAIDAS!$B$6:$B$500,B30,SAIDAS!$G$6:$G$500))</f>
        <v/>
      </c>
      <c r="D30" s="22">
        <f>IF(OR(B30="",$C$24=0),"",C30/$C$24)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IF(AREAS!$A$5="","",AREAS!$A$5)</f>
        <v/>
      </c>
      <c r="C31" s="13">
        <f>IF(B31="","",SUMIF(SAIDAS!$B$6:$B$500,B31,SAIDAS!$G$6:$G$500))</f>
        <v/>
      </c>
      <c r="D31" s="22">
        <f>IF(OR(B31="",$C$24=0),"",C31/$C$24)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IF(AREAS!$A$6="","",AREAS!$A$6)</f>
        <v/>
      </c>
      <c r="C32" s="13">
        <f>IF(B32="","",SUMIF(SAIDAS!$B$6:$B$500,B32,SAIDAS!$G$6:$G$500))</f>
        <v/>
      </c>
      <c r="D32" s="22">
        <f>IF(OR(B32="",$C$24=0),"",C32/$C$24)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IF(AREAS!$A$7="","",AREAS!$A$7)</f>
        <v/>
      </c>
      <c r="C33" s="13">
        <f>IF(B33="","",SUMIF(SAIDAS!$B$6:$B$500,B33,SAIDAS!$G$6:$G$500))</f>
        <v/>
      </c>
      <c r="D33" s="22">
        <f>IF(OR(B33="",$C$24=0),"",C33/$C$24)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IF(AREAS!$A$8="","",AREAS!$A$8)</f>
        <v/>
      </c>
      <c r="C34" s="13">
        <f>IF(B34="","",SUMIF(SAIDAS!$B$6:$B$500,B34,SAIDAS!$G$6:$G$500))</f>
        <v/>
      </c>
      <c r="D34" s="22">
        <f>IF(OR(B34="",$C$24=0),"",C34/$C$24)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IF(AREAS!$A$9="","",AREAS!$A$9)</f>
        <v/>
      </c>
      <c r="C35" s="13">
        <f>IF(B35="","",SUMIF(SAIDAS!$B$6:$B$500,B35,SAIDAS!$G$6:$G$500))</f>
        <v/>
      </c>
      <c r="D35" s="22">
        <f>IF(OR(B35="",$C$24=0),"",C35/$C$24)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IF(AREAS!$A$10="","",AREAS!$A$10)</f>
        <v/>
      </c>
      <c r="C36" s="13">
        <f>IF(B36="","",SUMIF(SAIDAS!$B$6:$B$500,B36,SAIDAS!$G$6:$G$500))</f>
        <v/>
      </c>
      <c r="D36" s="22">
        <f>IF(OR(B36="",$C$24=0),"",C36/$C$24)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IF(AREAS!$A$11="","",AREAS!$A$11)</f>
        <v/>
      </c>
      <c r="C37" s="13">
        <f>IF(B37="","",SUMIF(SAIDAS!$B$6:$B$500,B37,SAIDAS!$G$6:$G$500))</f>
        <v/>
      </c>
      <c r="D37" s="22">
        <f>IF(OR(B37="",$C$24=0),"",C37/$C$24)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IF(AREAS!$A$12="","",AREAS!$A$12)</f>
        <v/>
      </c>
      <c r="C38" s="13">
        <f>IF(B38="","",SUMIF(SAIDAS!$B$6:$B$500,B38,SAIDAS!$G$6:$G$500))</f>
        <v/>
      </c>
      <c r="D38" s="22">
        <f>IF(OR(B38="",$C$24=0),"",C38/$C$24)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23" t="inlineStr">
        <is>
          <t>SEM ÁREA — classificar na aba SAÍDAS</t>
        </is>
      </c>
      <c r="C39" s="13">
        <f>ROUND(SUM(SAIDAS!$G$6:$G$500)-SUM(C28:C38),2)</f>
        <v/>
      </c>
      <c r="D39" s="22" t="n"/>
      <c r="E39" s="13" t="n"/>
      <c r="F39" s="13" t="n"/>
    </row>
    <row r="40">
      <c r="B40" s="24" t="inlineStr">
        <is>
          <t>TOTAL SAÍDAS</t>
        </is>
      </c>
      <c r="C40" s="25">
        <f>ROUND(SUM(SAIDAS!$G$6:$G$500),2)</f>
        <v/>
      </c>
      <c r="D40" s="26">
        <f>IF($C$24=0,"",C40/$C$24)</f>
        <v/>
      </c>
      <c r="E40" s="25">
        <f>SUMIF(SAIDAS!$H$6:$H$500,"PAGO",SAIDAS!$G$6:$G$500)</f>
        <v/>
      </c>
      <c r="F40" s="25">
        <f>C40-E40</f>
        <v/>
      </c>
    </row>
    <row r="42" ht="22" customHeight="1">
      <c r="B42" s="10" t="inlineStr">
        <is>
          <t>3.  RESULTADO</t>
        </is>
      </c>
    </row>
    <row r="43">
      <c r="B43" s="12" t="inlineStr">
        <is>
          <t>ENTRADA LÍQUIDA</t>
        </is>
      </c>
      <c r="C43" s="13">
        <f>C24</f>
        <v/>
      </c>
    </row>
    <row r="44">
      <c r="B44" s="12" t="inlineStr">
        <is>
          <t>(−) TOTAL SAÍDAS</t>
        </is>
      </c>
      <c r="C44" s="13">
        <f>C40</f>
        <v/>
      </c>
    </row>
    <row r="45" ht="24" customHeight="1">
      <c r="B45" s="27" t="inlineStr">
        <is>
          <t>(=) LUCRO DA YAD</t>
        </is>
      </c>
      <c r="C45" s="28">
        <f>C24-C40</f>
        <v/>
      </c>
    </row>
    <row r="46">
      <c r="B46" s="12" t="inlineStr">
        <is>
          <t>MARGEM (sobre a entrada bruta)</t>
        </is>
      </c>
      <c r="C46" s="29">
        <f>IF(C21=0,"",C45/C21)</f>
        <v/>
      </c>
    </row>
    <row r="48" ht="22" customHeight="1">
      <c r="B48" s="10" t="inlineStr">
        <is>
          <t>4.  CAIXA — o que já andou e o que falta</t>
        </is>
      </c>
    </row>
    <row r="49" ht="28" customHeight="1">
      <c r="B49" s="11" t="inlineStr"/>
      <c r="C49" s="11" t="inlineStr">
        <is>
          <t>JÁ ANDOU</t>
        </is>
      </c>
      <c r="D49" s="11" t="inlineStr">
        <is>
          <t>FALTA</t>
        </is>
      </c>
    </row>
    <row r="50">
      <c r="B50" s="12" t="inlineStr">
        <is>
          <t>ENTRADAS (recebido / a receber)</t>
        </is>
      </c>
      <c r="C50" s="13">
        <f>SUMIF(E17:E20,"RECEBIDO",C17:C20)</f>
        <v/>
      </c>
      <c r="D50" s="13">
        <f>C21-C50</f>
        <v/>
      </c>
    </row>
    <row r="51">
      <c r="B51" s="12" t="inlineStr">
        <is>
          <t>SAÍDAS (pago / a pagar)</t>
        </is>
      </c>
      <c r="C51" s="13">
        <f>E40</f>
        <v/>
      </c>
      <c r="D51" s="13">
        <f>F40</f>
        <v/>
      </c>
    </row>
    <row r="53">
      <c r="B53" s="30" t="inlineStr">
        <is>
          <t>Preencha só a aba SAIDAS — esta aqui é toda fórmula. Célula amarela é campo para digitar.</t>
        </is>
      </c>
    </row>
  </sheetData>
  <mergeCells count="15">
    <mergeCell ref="B53:F53"/>
    <mergeCell ref="C12:D12"/>
    <mergeCell ref="C3:F3"/>
    <mergeCell ref="B48:F48"/>
    <mergeCell ref="C4:F4"/>
    <mergeCell ref="C11:D11"/>
    <mergeCell ref="B15:F15"/>
    <mergeCell ref="B42:F42"/>
    <mergeCell ref="C1:F1"/>
    <mergeCell ref="C13:D13"/>
    <mergeCell ref="D22:E22"/>
    <mergeCell ref="B8:F8"/>
    <mergeCell ref="C2:F2"/>
    <mergeCell ref="B26:F26"/>
    <mergeCell ref="B9:F9"/>
  </mergeCells>
  <conditionalFormatting sqref="C39">
    <cfRule type="cellIs" priority="1" operator="greaterThan" dxfId="0">
      <formula>0.005</formula>
    </cfRule>
  </conditionalFormatting>
  <conditionalFormatting sqref="B45:C45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0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AMIRA — Live profissional · captação, operação e transmissão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</t>
        </is>
      </c>
      <c r="C2" s="31" t="inlineStr">
        <is>
          <t>Área nova? Escreva na primeira linha amarela.</t>
        </is>
      </c>
    </row>
    <row r="3">
      <c r="A3" s="12" t="inlineStr">
        <is>
          <t>EQUIPAMENTO E TRANSMISSÃO</t>
        </is>
      </c>
      <c r="C3" s="32" t="inlineStr">
        <is>
          <t>Ela aparece sozinha na listinha da aba SAÍDAS e vira uma linha no RESUMO.</t>
        </is>
      </c>
    </row>
    <row r="4">
      <c r="A4" s="12" t="inlineStr">
        <is>
          <t>TRANSPORTE E LOGÍSTICA</t>
        </is>
      </c>
      <c r="C4" s="32" t="inlineStr">
        <is>
          <t>Não apague área que já tem gasto lançado — o RESUMO perde a linha.</t>
        </is>
      </c>
    </row>
    <row r="5">
      <c r="A5" s="12" t="inlineStr">
        <is>
          <t>ALIMENTAÇÃO</t>
        </is>
      </c>
    </row>
    <row r="6">
      <c r="A6" s="12" t="inlineStr">
        <is>
          <t>PRODUÇÃO E DIVERSOS</t>
        </is>
      </c>
    </row>
    <row r="7">
      <c r="A7" s="12" t="inlineStr">
        <is>
          <t>COMISSÃO</t>
        </is>
      </c>
    </row>
    <row r="8">
      <c r="A8" s="33" t="n"/>
    </row>
    <row r="9">
      <c r="A9" s="33" t="n"/>
    </row>
    <row r="10">
      <c r="A10" s="33" t="n"/>
    </row>
    <row r="11">
      <c r="A11" s="33" t="n"/>
    </row>
    <row r="12">
      <c r="A12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4" t="inlineStr">
        <is>
          <t>SAÍDAS — um gasto por linha</t>
        </is>
      </c>
    </row>
    <row r="3">
      <c r="B3" s="35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</t>
        </is>
      </c>
      <c r="C6" s="12" t="inlineStr">
        <is>
          <t>Emerson</t>
        </is>
      </c>
      <c r="D6" s="12" t="inlineStr">
        <is>
          <t>Responsável pela live — direção técnica e switcher</t>
        </is>
      </c>
      <c r="E6" s="15" t="n">
        <v>1</v>
      </c>
      <c r="F6" s="13" t="n">
        <v>1000</v>
      </c>
      <c r="G6" s="36">
        <f>IF(OR(E6="",F6=""),"",ROUND(E6*F6,2))</f>
        <v/>
      </c>
      <c r="H6" s="15" t="inlineStr">
        <is>
          <t>A PAGAR</t>
        </is>
      </c>
      <c r="I6" s="14" t="n"/>
      <c r="J6" s="12" t="inlineStr">
        <is>
          <t>valor real informado pelo Felype · Emerson tem cachê cheio, não é equipe zerada</t>
        </is>
      </c>
    </row>
    <row r="7">
      <c r="B7" s="12" t="inlineStr">
        <is>
          <t>EQUIPE</t>
        </is>
      </c>
      <c r="C7" s="12" t="inlineStr">
        <is>
          <t>Isa</t>
        </is>
      </c>
      <c r="D7" s="12" t="inlineStr">
        <is>
          <t>Cinegrafista e montagem</t>
        </is>
      </c>
      <c r="E7" s="15" t="n">
        <v>1</v>
      </c>
      <c r="F7" s="13" t="n">
        <v>1000</v>
      </c>
      <c r="G7" s="36">
        <f>IF(OR(E7="",F7=""),"",ROUND(E7*F7,2))</f>
        <v/>
      </c>
      <c r="H7" s="15" t="inlineStr">
        <is>
          <t>A PAGAR</t>
        </is>
      </c>
      <c r="I7" s="14" t="n"/>
      <c r="J7" s="12" t="inlineStr">
        <is>
          <t>valor real informado pelo Felype · mesma diária de cinegrafista de operação do YAH CHURCH</t>
        </is>
      </c>
    </row>
    <row r="8">
      <c r="B8" s="12" t="inlineStr">
        <is>
          <t>EQUIPE</t>
        </is>
      </c>
      <c r="C8" s="12" t="inlineStr">
        <is>
          <t>Lucas</t>
        </is>
      </c>
      <c r="D8" s="12" t="inlineStr">
        <is>
          <t>Cinegrafista e assistente</t>
        </is>
      </c>
      <c r="E8" s="15" t="n">
        <v>1</v>
      </c>
      <c r="F8" s="13" t="n">
        <v>500</v>
      </c>
      <c r="G8" s="36">
        <f>IF(OR(E8="",F8=""),"",ROUND(E8*F8,2))</f>
        <v/>
      </c>
      <c r="H8" s="15" t="inlineStr">
        <is>
          <t>A PAGAR</t>
        </is>
      </c>
      <c r="I8" s="14" t="n"/>
      <c r="J8" s="12" t="inlineStr">
        <is>
          <t>valor real informado pelo Felype · no YAH CHURCH era assistente a 250; subiu para 500 acumulando câmera</t>
        </is>
      </c>
    </row>
    <row r="9">
      <c r="B9" s="12" t="inlineStr">
        <is>
          <t>EQUIPAMENTO E TRANSMISSÃO</t>
        </is>
      </c>
      <c r="C9" s="12" t="inlineStr">
        <is>
          <t>2 câmeras 4K, ATEM mini, torre vMix, interface de áudio, cabeamento e monitor</t>
        </is>
      </c>
      <c r="D9" s="12" t="inlineStr">
        <is>
          <t>parque próprio</t>
        </is>
      </c>
      <c r="E9" s="15" t="n">
        <v>1</v>
      </c>
      <c r="F9" s="13" t="n">
        <v>0</v>
      </c>
      <c r="G9" s="36">
        <f>IF(OR(E9="",F9=""),"",ROUND(E9*F9,2))</f>
        <v/>
      </c>
      <c r="H9" s="15" t="inlineStr"/>
      <c r="I9" s="14" t="n"/>
      <c r="J9" s="12" t="inlineStr">
        <is>
          <t>equipamento 100% da YAD — é daqui que vem o lucro deste job</t>
        </is>
      </c>
    </row>
    <row r="10">
      <c r="B10" s="12" t="inlineStr">
        <is>
          <t>EQUIPAMENTO E TRANSMISSÃO</t>
        </is>
      </c>
      <c r="C10" s="12" t="inlineStr">
        <is>
          <t>Internet dedicada</t>
        </is>
      </c>
      <c r="D10" s="12" t="inlineStr">
        <is>
          <t>link de transmissão</t>
        </is>
      </c>
      <c r="E10" s="15" t="n">
        <v>1</v>
      </c>
      <c r="F10" s="13" t="n">
        <v>0</v>
      </c>
      <c r="G10" s="36">
        <f>IF(OR(E10="",F10=""),"",ROUND(E10*F10,2))</f>
        <v/>
      </c>
      <c r="H10" s="15" t="inlineStr"/>
      <c r="I10" s="14" t="n"/>
      <c r="J10" s="12" t="inlineStr">
        <is>
          <t>o orçamento diz que é responsabilidade do cliente — sem custo para a YAD</t>
        </is>
      </c>
    </row>
    <row r="11">
      <c r="B11" s="12" t="inlineStr">
        <is>
          <t>TRANSPORTE E LOGÍSTICA</t>
        </is>
      </c>
      <c r="C11" s="12" t="inlineStr">
        <is>
          <t>Transporte do equipamento e deslocamento</t>
        </is>
      </c>
      <c r="D11" s="12" t="inlineStr">
        <is>
          <t>ida e volta no dia</t>
        </is>
      </c>
      <c r="E11" s="15" t="n">
        <v>2</v>
      </c>
      <c r="F11" s="13" t="n">
        <v>350</v>
      </c>
      <c r="G11" s="36">
        <f>IF(OR(E11="",F11=""),"",ROUND(E11*F11,2))</f>
        <v/>
      </c>
      <c r="H11" s="15" t="inlineStr">
        <is>
          <t>A PAGAR</t>
        </is>
      </c>
      <c r="I11" s="14" t="n"/>
      <c r="J11" s="12" t="inlineStr">
        <is>
          <t>ADICIONADO — 350 por trecho, padrão da casa. Se for na van com a própria equipe, zerar.</t>
        </is>
      </c>
    </row>
    <row r="12">
      <c r="B12" s="12" t="inlineStr">
        <is>
          <t>ALIMENTAÇÃO</t>
        </is>
      </c>
      <c r="C12" s="12" t="inlineStr">
        <is>
          <t>Café da manhã da equipe</t>
        </is>
      </c>
      <c r="D12" s="12" t="inlineStr">
        <is>
          <t>evento 8h às 13h, sem almoço</t>
        </is>
      </c>
      <c r="E12" s="15" t="n">
        <v>1</v>
      </c>
      <c r="F12" s="13" t="n">
        <v>100</v>
      </c>
      <c r="G12" s="36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valor fechado informado pelo Felype · se for R$ 100 POR PESSOA, mudar a QTD para 3</t>
        </is>
      </c>
    </row>
    <row r="13">
      <c r="B13" s="12" t="inlineStr">
        <is>
          <t>PRODUÇÃO E DIVERSOS</t>
        </is>
      </c>
      <c r="C13" s="12" t="inlineStr">
        <is>
          <t>Mídia e guarda da gravação</t>
        </is>
      </c>
      <c r="D13" s="12" t="inlineStr">
        <is>
          <t>se a live também for gravada</t>
        </is>
      </c>
      <c r="E13" s="15" t="n">
        <v>1</v>
      </c>
      <c r="F13" s="16" t="n"/>
      <c r="G13" s="36">
        <f>IF(OR(E13="",F13=""),"",ROUND(E13*F13,2))</f>
        <v/>
      </c>
      <c r="H13" s="15" t="inlineStr">
        <is>
          <t>A PAGAR</t>
        </is>
      </c>
      <c r="I13" s="14" t="n"/>
      <c r="J13" s="12" t="inlineStr">
        <is>
          <t>ADICIONADO — o orçamento vende transmissão; se ficar arquivo gravado, alguém guarda. Zerar se não houver entrega de arquivo.</t>
        </is>
      </c>
    </row>
    <row r="14">
      <c r="B14" s="12" t="inlineStr">
        <is>
          <t>COMISSÃO</t>
        </is>
      </c>
      <c r="C14" s="12" t="inlineStr">
        <is>
          <t>Comissão comercial — a definir quem</t>
        </is>
      </c>
      <c r="D14" s="12" t="inlineStr">
        <is>
          <t>% sobre a entrada líquida</t>
        </is>
      </c>
      <c r="E14" s="37" t="n">
        <v>1</v>
      </c>
      <c r="F14" s="36">
        <f>ROUND(RESUMO!$C$24*RESUMO!$F$22,2)</f>
        <v/>
      </c>
      <c r="G14" s="36">
        <f>IF(OR(E14="",F14=""),"",ROUND(E14*F14,2))</f>
        <v/>
      </c>
      <c r="H14" s="15" t="inlineStr">
        <is>
          <t>A PAGAR</t>
        </is>
      </c>
      <c r="I14" s="14" t="n"/>
      <c r="J14" s="12">
        <f>TEXT(RESUMO!$F$22,"0.0%")&amp;" da entrada líquida (RESUMO!C24)"</f>
        <v/>
      </c>
    </row>
    <row r="15">
      <c r="B15" s="12" t="n"/>
      <c r="C15" s="12" t="n"/>
      <c r="D15" s="12" t="n"/>
      <c r="E15" s="38" t="n"/>
      <c r="F15" s="16" t="n"/>
      <c r="G15" s="36">
        <f>IF(OR(E15="",F15=""),"",ROUND(E15*F15,2))</f>
        <v/>
      </c>
      <c r="H15" s="15" t="n"/>
      <c r="I15" s="14" t="n"/>
      <c r="J15" s="12" t="n"/>
    </row>
    <row r="16">
      <c r="B16" s="12" t="n"/>
      <c r="C16" s="12" t="n"/>
      <c r="D16" s="12" t="n"/>
      <c r="E16" s="38" t="n"/>
      <c r="F16" s="16" t="n"/>
      <c r="G16" s="36">
        <f>IF(OR(E16="",F16=""),"",ROUND(E16*F16,2))</f>
        <v/>
      </c>
      <c r="H16" s="15" t="n"/>
      <c r="I16" s="14" t="n"/>
      <c r="J16" s="12" t="n"/>
    </row>
    <row r="17">
      <c r="B17" s="12" t="n"/>
      <c r="C17" s="12" t="n"/>
      <c r="D17" s="12" t="n"/>
      <c r="E17" s="38" t="n"/>
      <c r="F17" s="16" t="n"/>
      <c r="G17" s="36">
        <f>IF(OR(E17="",F17=""),"",ROUND(E17*F17,2))</f>
        <v/>
      </c>
      <c r="H17" s="15" t="n"/>
      <c r="I17" s="14" t="n"/>
      <c r="J17" s="12" t="n"/>
    </row>
    <row r="18">
      <c r="B18" s="12" t="n"/>
      <c r="C18" s="12" t="n"/>
      <c r="D18" s="12" t="n"/>
      <c r="E18" s="38" t="n"/>
      <c r="F18" s="16" t="n"/>
      <c r="G18" s="36">
        <f>IF(OR(E18="",F18=""),"",ROUND(E18*F18,2))</f>
        <v/>
      </c>
      <c r="H18" s="15" t="n"/>
      <c r="I18" s="14" t="n"/>
      <c r="J18" s="12" t="n"/>
    </row>
    <row r="19">
      <c r="B19" s="12" t="n"/>
      <c r="C19" s="12" t="n"/>
      <c r="D19" s="12" t="n"/>
      <c r="E19" s="38" t="n"/>
      <c r="F19" s="16" t="n"/>
      <c r="G19" s="36">
        <f>IF(OR(E19="",F19=""),"",ROUND(E19*F19,2))</f>
        <v/>
      </c>
      <c r="H19" s="15" t="n"/>
      <c r="I19" s="14" t="n"/>
      <c r="J19" s="12" t="n"/>
    </row>
    <row r="20">
      <c r="B20" s="12" t="n"/>
      <c r="C20" s="12" t="n"/>
      <c r="D20" s="12" t="n"/>
      <c r="E20" s="38" t="n"/>
      <c r="F20" s="16" t="n"/>
      <c r="G20" s="36">
        <f>IF(OR(E20="",F20=""),"",ROUND(E20*F20,2))</f>
        <v/>
      </c>
      <c r="H20" s="15" t="n"/>
      <c r="I20" s="14" t="n"/>
      <c r="J20" s="12" t="n"/>
    </row>
    <row r="21">
      <c r="B21" s="12" t="n"/>
      <c r="C21" s="12" t="n"/>
      <c r="D21" s="12" t="n"/>
      <c r="E21" s="38" t="n"/>
      <c r="F21" s="16" t="n"/>
      <c r="G21" s="36">
        <f>IF(OR(E21="",F21=""),"",ROUND(E21*F21,2))</f>
        <v/>
      </c>
      <c r="H21" s="15" t="n"/>
      <c r="I21" s="14" t="n"/>
      <c r="J21" s="12" t="n"/>
    </row>
    <row r="22">
      <c r="B22" s="12" t="n"/>
      <c r="C22" s="12" t="n"/>
      <c r="D22" s="12" t="n"/>
      <c r="E22" s="38" t="n"/>
      <c r="F22" s="16" t="n"/>
      <c r="G22" s="36">
        <f>IF(OR(E22="",F22=""),"",ROUND(E22*F22,2))</f>
        <v/>
      </c>
      <c r="H22" s="15" t="n"/>
      <c r="I22" s="14" t="n"/>
      <c r="J22" s="12" t="n"/>
    </row>
    <row r="23">
      <c r="B23" s="12" t="n"/>
      <c r="C23" s="12" t="n"/>
      <c r="D23" s="12" t="n"/>
      <c r="E23" s="38" t="n"/>
      <c r="F23" s="16" t="n"/>
      <c r="G23" s="36">
        <f>IF(OR(E23="",F23=""),"",ROUND(E23*F23,2))</f>
        <v/>
      </c>
      <c r="H23" s="15" t="n"/>
      <c r="I23" s="14" t="n"/>
      <c r="J23" s="12" t="n"/>
    </row>
    <row r="24">
      <c r="B24" s="12" t="n"/>
      <c r="C24" s="12" t="n"/>
      <c r="D24" s="12" t="n"/>
      <c r="E24" s="38" t="n"/>
      <c r="F24" s="16" t="n"/>
      <c r="G24" s="36">
        <f>IF(OR(E24="",F24=""),"",ROUND(E24*F24,2))</f>
        <v/>
      </c>
      <c r="H24" s="15" t="n"/>
      <c r="I24" s="14" t="n"/>
      <c r="J24" s="12" t="n"/>
    </row>
    <row r="25">
      <c r="B25" s="12" t="n"/>
      <c r="C25" s="12" t="n"/>
      <c r="D25" s="12" t="n"/>
      <c r="E25" s="38" t="n"/>
      <c r="F25" s="16" t="n"/>
      <c r="G25" s="36">
        <f>IF(OR(E25="",F25=""),"",ROUND(E25*F25,2))</f>
        <v/>
      </c>
      <c r="H25" s="15" t="n"/>
      <c r="I25" s="14" t="n"/>
      <c r="J25" s="12" t="n"/>
    </row>
    <row r="26">
      <c r="B26" s="12" t="n"/>
      <c r="C26" s="12" t="n"/>
      <c r="D26" s="12" t="n"/>
      <c r="E26" s="38" t="n"/>
      <c r="F26" s="16" t="n"/>
      <c r="G26" s="36">
        <f>IF(OR(E26="",F26=""),"",ROUND(E26*F26,2))</f>
        <v/>
      </c>
      <c r="H26" s="15" t="n"/>
      <c r="I26" s="14" t="n"/>
      <c r="J26" s="12" t="n"/>
    </row>
    <row r="27">
      <c r="B27" s="12" t="n"/>
      <c r="C27" s="12" t="n"/>
      <c r="D27" s="12" t="n"/>
      <c r="E27" s="38" t="n"/>
      <c r="F27" s="16" t="n"/>
      <c r="G27" s="36">
        <f>IF(OR(E27="",F27=""),"",ROUND(E27*F27,2))</f>
        <v/>
      </c>
      <c r="H27" s="15" t="n"/>
      <c r="I27" s="14" t="n"/>
      <c r="J27" s="12" t="n"/>
    </row>
    <row r="28">
      <c r="B28" s="12" t="n"/>
      <c r="C28" s="12" t="n"/>
      <c r="D28" s="12" t="n"/>
      <c r="E28" s="38" t="n"/>
      <c r="F28" s="16" t="n"/>
      <c r="G28" s="36">
        <f>IF(OR(E28="",F28=""),"",ROUND(E28*F28,2))</f>
        <v/>
      </c>
      <c r="H28" s="15" t="n"/>
      <c r="I28" s="14" t="n"/>
      <c r="J28" s="12" t="n"/>
    </row>
    <row r="29">
      <c r="B29" s="12" t="n"/>
      <c r="C29" s="12" t="n"/>
      <c r="D29" s="12" t="n"/>
      <c r="E29" s="38" t="n"/>
      <c r="F29" s="16" t="n"/>
      <c r="G29" s="36">
        <f>IF(OR(E29="",F29=""),"",ROUND(E29*F29,2))</f>
        <v/>
      </c>
      <c r="H29" s="15" t="n"/>
      <c r="I29" s="14" t="n"/>
      <c r="J29" s="12" t="n"/>
    </row>
    <row r="30">
      <c r="B30" s="12" t="n"/>
      <c r="C30" s="12" t="n"/>
      <c r="D30" s="12" t="n"/>
      <c r="E30" s="38" t="n"/>
      <c r="F30" s="16" t="n"/>
      <c r="G30" s="36">
        <f>IF(OR(E30="",F30=""),"",ROUND(E30*F30,2))</f>
        <v/>
      </c>
      <c r="H30" s="15" t="n"/>
      <c r="I30" s="14" t="n"/>
      <c r="J30" s="12" t="n"/>
    </row>
    <row r="31">
      <c r="B31" s="12" t="n"/>
      <c r="C31" s="12" t="n"/>
      <c r="D31" s="12" t="n"/>
      <c r="E31" s="38" t="n"/>
      <c r="F31" s="16" t="n"/>
      <c r="G31" s="36">
        <f>IF(OR(E31="",F31=""),"",ROUND(E31*F31,2))</f>
        <v/>
      </c>
      <c r="H31" s="15" t="n"/>
      <c r="I31" s="14" t="n"/>
      <c r="J31" s="12" t="n"/>
    </row>
    <row r="32">
      <c r="B32" s="12" t="n"/>
      <c r="C32" s="12" t="n"/>
      <c r="D32" s="12" t="n"/>
      <c r="E32" s="38" t="n"/>
      <c r="F32" s="16" t="n"/>
      <c r="G32" s="36">
        <f>IF(OR(E32="",F32=""),"",ROUND(E32*F32,2))</f>
        <v/>
      </c>
      <c r="H32" s="15" t="n"/>
      <c r="I32" s="14" t="n"/>
      <c r="J32" s="12" t="n"/>
    </row>
    <row r="33">
      <c r="B33" s="12" t="n"/>
      <c r="C33" s="12" t="n"/>
      <c r="D33" s="12" t="n"/>
      <c r="E33" s="38" t="n"/>
      <c r="F33" s="16" t="n"/>
      <c r="G33" s="36">
        <f>IF(OR(E33="",F33=""),"",ROUND(E33*F33,2))</f>
        <v/>
      </c>
      <c r="H33" s="15" t="n"/>
      <c r="I33" s="14" t="n"/>
      <c r="J33" s="12" t="n"/>
    </row>
    <row r="34">
      <c r="B34" s="12" t="n"/>
      <c r="C34" s="12" t="n"/>
      <c r="D34" s="12" t="n"/>
      <c r="E34" s="38" t="n"/>
      <c r="F34" s="16" t="n"/>
      <c r="G34" s="36">
        <f>IF(OR(E34="",F34=""),"",ROUND(E34*F34,2))</f>
        <v/>
      </c>
      <c r="H34" s="15" t="n"/>
      <c r="I34" s="14" t="n"/>
      <c r="J34" s="12" t="n"/>
    </row>
    <row r="35">
      <c r="B35" s="12" t="n"/>
      <c r="C35" s="12" t="n"/>
      <c r="D35" s="12" t="n"/>
      <c r="E35" s="38" t="n"/>
      <c r="F35" s="16" t="n"/>
      <c r="G35" s="36">
        <f>IF(OR(E35="",F35=""),"",ROUND(E35*F35,2))</f>
        <v/>
      </c>
      <c r="H35" s="15" t="n"/>
      <c r="I35" s="14" t="n"/>
      <c r="J35" s="12" t="n"/>
    </row>
    <row r="36">
      <c r="B36" s="12" t="n"/>
      <c r="C36" s="12" t="n"/>
      <c r="D36" s="12" t="n"/>
      <c r="E36" s="38" t="n"/>
      <c r="F36" s="16" t="n"/>
      <c r="G36" s="36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8" t="n"/>
      <c r="F37" s="16" t="n"/>
      <c r="G37" s="36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8" t="n"/>
      <c r="F38" s="16" t="n"/>
      <c r="G38" s="36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8" t="n"/>
      <c r="F39" s="16" t="n"/>
      <c r="G39" s="36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8" t="n"/>
      <c r="F40" s="16" t="n"/>
      <c r="G40" s="36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8" t="n"/>
      <c r="F41" s="16" t="n"/>
      <c r="G41" s="36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8" t="n"/>
      <c r="F42" s="16" t="n"/>
      <c r="G42" s="36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8" t="n"/>
      <c r="F43" s="16" t="n"/>
      <c r="G43" s="36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8" t="n"/>
      <c r="F44" s="16" t="n"/>
      <c r="G44" s="36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8" t="n"/>
      <c r="F45" s="16" t="n"/>
      <c r="G45" s="36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8" t="n"/>
      <c r="F46" s="16" t="n"/>
      <c r="G46" s="36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8" t="n"/>
      <c r="F47" s="16" t="n"/>
      <c r="G47" s="36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8" t="n"/>
      <c r="F48" s="16" t="n"/>
      <c r="G48" s="36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8" t="n"/>
      <c r="F49" s="16" t="n"/>
      <c r="G49" s="36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8" t="n"/>
      <c r="F50" s="16" t="n"/>
      <c r="G50" s="36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8" t="n"/>
      <c r="F51" s="16" t="n"/>
      <c r="G51" s="36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8" t="n"/>
      <c r="F52" s="16" t="n"/>
      <c r="G52" s="36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8" t="n"/>
      <c r="F53" s="16" t="n"/>
      <c r="G53" s="36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8" t="n"/>
      <c r="F54" s="16" t="n"/>
      <c r="G54" s="36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8" t="n"/>
      <c r="F55" s="16" t="n"/>
      <c r="G55" s="36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8" t="n"/>
      <c r="F56" s="16" t="n"/>
      <c r="G56" s="36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8" t="n"/>
      <c r="F57" s="16" t="n"/>
      <c r="G57" s="36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8" t="n"/>
      <c r="F58" s="16" t="n"/>
      <c r="G58" s="36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8" t="n"/>
      <c r="F59" s="16" t="n"/>
      <c r="G59" s="36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8" t="n"/>
      <c r="F60" s="16" t="n"/>
      <c r="G60" s="36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8" t="n"/>
      <c r="F61" s="16" t="n"/>
      <c r="G61" s="36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8" t="n"/>
      <c r="F62" s="16" t="n"/>
      <c r="G62" s="36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8" t="n"/>
      <c r="F63" s="16" t="n"/>
      <c r="G63" s="36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8" t="n"/>
      <c r="F64" s="16" t="n"/>
      <c r="G64" s="36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8" t="n"/>
      <c r="F65" s="16" t="n"/>
      <c r="G65" s="36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8" t="n"/>
      <c r="F66" s="16" t="n"/>
      <c r="G66" s="36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8" t="n"/>
      <c r="F67" s="16" t="n"/>
      <c r="G67" s="36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8" t="n"/>
      <c r="F68" s="16" t="n"/>
      <c r="G68" s="36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8" t="n"/>
      <c r="F69" s="16" t="n"/>
      <c r="G69" s="36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8" t="n"/>
      <c r="F70" s="16" t="n"/>
      <c r="G70" s="36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8" t="n"/>
      <c r="F71" s="16" t="n"/>
      <c r="G71" s="36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8" t="n"/>
      <c r="F72" s="16" t="n"/>
      <c r="G72" s="36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8" t="n"/>
      <c r="F73" s="16" t="n"/>
      <c r="G73" s="36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8" t="n"/>
      <c r="F74" s="16" t="n"/>
      <c r="G74" s="36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8" t="n"/>
      <c r="F75" s="16" t="n"/>
      <c r="G75" s="36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8" t="n"/>
      <c r="F76" s="16" t="n"/>
      <c r="G76" s="36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8" t="n"/>
      <c r="F77" s="16" t="n"/>
      <c r="G77" s="36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8" t="n"/>
      <c r="F78" s="16" t="n"/>
      <c r="G78" s="36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8" t="n"/>
      <c r="F79" s="16" t="n"/>
      <c r="G79" s="36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8" t="n"/>
      <c r="F80" s="16" t="n"/>
      <c r="G80" s="36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8" t="n"/>
      <c r="F81" s="16" t="n"/>
      <c r="G81" s="36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8" t="n"/>
      <c r="F82" s="16" t="n"/>
      <c r="G82" s="36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8" t="n"/>
      <c r="F83" s="16" t="n"/>
      <c r="G83" s="36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8" t="n"/>
      <c r="F84" s="16" t="n"/>
      <c r="G84" s="36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8" t="n"/>
      <c r="F85" s="16" t="n"/>
      <c r="G85" s="36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8" t="n"/>
      <c r="F86" s="16" t="n"/>
      <c r="G86" s="36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8" t="n"/>
      <c r="F87" s="16" t="n"/>
      <c r="G87" s="36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8" t="n"/>
      <c r="F88" s="16" t="n"/>
      <c r="G88" s="36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8" t="n"/>
      <c r="F89" s="16" t="n"/>
      <c r="G89" s="36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8" t="n"/>
      <c r="F90" s="16" t="n"/>
      <c r="G90" s="36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8" t="n"/>
      <c r="F91" s="16" t="n"/>
      <c r="G91" s="36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8" t="n"/>
      <c r="F92" s="16" t="n"/>
      <c r="G92" s="36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8" t="n"/>
      <c r="F93" s="16" t="n"/>
      <c r="G93" s="36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8" t="n"/>
      <c r="F94" s="16" t="n"/>
      <c r="G94" s="36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8" t="n"/>
      <c r="F95" s="16" t="n"/>
      <c r="G95" s="36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8" t="n"/>
      <c r="F96" s="16" t="n"/>
      <c r="G96" s="36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8" t="n"/>
      <c r="F97" s="16" t="n"/>
      <c r="G97" s="36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8" t="n"/>
      <c r="F98" s="16" t="n"/>
      <c r="G98" s="36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8" t="n"/>
      <c r="F99" s="16" t="n"/>
      <c r="G99" s="36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8" t="n"/>
      <c r="F100" s="16" t="n"/>
      <c r="G100" s="36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8" t="n"/>
      <c r="F101" s="16" t="n"/>
      <c r="G101" s="36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8" t="n"/>
      <c r="F102" s="16" t="n"/>
      <c r="G102" s="36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8" t="n"/>
      <c r="F103" s="16" t="n"/>
      <c r="G103" s="36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8" t="n"/>
      <c r="F104" s="16" t="n"/>
      <c r="G104" s="36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8" t="n"/>
      <c r="F105" s="16" t="n"/>
      <c r="G105" s="36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8" t="n"/>
      <c r="F106" s="16" t="n"/>
      <c r="G106" s="36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8" t="n"/>
      <c r="F107" s="16" t="n"/>
      <c r="G107" s="36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8" t="n"/>
      <c r="F108" s="16" t="n"/>
      <c r="G108" s="36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8" t="n"/>
      <c r="F109" s="16" t="n"/>
      <c r="G109" s="36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8" t="n"/>
      <c r="F110" s="16" t="n"/>
      <c r="G110" s="36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8" t="n"/>
      <c r="F111" s="16" t="n"/>
      <c r="G111" s="36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8" t="n"/>
      <c r="F112" s="16" t="n"/>
      <c r="G112" s="36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8" t="n"/>
      <c r="F113" s="16" t="n"/>
      <c r="G113" s="36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8" t="n"/>
      <c r="F114" s="16" t="n"/>
      <c r="G114" s="36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8" t="n"/>
      <c r="F115" s="16" t="n"/>
      <c r="G115" s="36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8" t="n"/>
      <c r="F116" s="16" t="n"/>
      <c r="G116" s="36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8" t="n"/>
      <c r="F117" s="16" t="n"/>
      <c r="G117" s="36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8" t="n"/>
      <c r="F118" s="16" t="n"/>
      <c r="G118" s="36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8" t="n"/>
      <c r="F119" s="16" t="n"/>
      <c r="G119" s="36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8" t="n"/>
      <c r="F120" s="16" t="n"/>
      <c r="G120" s="36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8" t="n"/>
      <c r="F121" s="16" t="n"/>
      <c r="G121" s="36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8" t="n"/>
      <c r="F122" s="16" t="n"/>
      <c r="G122" s="36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8" t="n"/>
      <c r="F123" s="16" t="n"/>
      <c r="G123" s="36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8" t="n"/>
      <c r="F124" s="16" t="n"/>
      <c r="G124" s="36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8" t="n"/>
      <c r="F125" s="16" t="n"/>
      <c r="G125" s="36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8" t="n"/>
      <c r="F126" s="16" t="n"/>
      <c r="G126" s="36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8" t="n"/>
      <c r="F127" s="16" t="n"/>
      <c r="G127" s="36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8" t="n"/>
      <c r="F128" s="16" t="n"/>
      <c r="G128" s="36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8" t="n"/>
      <c r="F129" s="16" t="n"/>
      <c r="G129" s="36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8" t="n"/>
      <c r="F130" s="16" t="n"/>
      <c r="G130" s="36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8" t="n"/>
      <c r="F131" s="16" t="n"/>
      <c r="G131" s="36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8" t="n"/>
      <c r="F132" s="16" t="n"/>
      <c r="G132" s="36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8" t="n"/>
      <c r="F133" s="16" t="n"/>
      <c r="G133" s="36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8" t="n"/>
      <c r="F134" s="16" t="n"/>
      <c r="G134" s="36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8" t="n"/>
      <c r="F135" s="16" t="n"/>
      <c r="G135" s="36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8" t="n"/>
      <c r="F136" s="16" t="n"/>
      <c r="G136" s="36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8" t="n"/>
      <c r="F137" s="16" t="n"/>
      <c r="G137" s="36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8" t="n"/>
      <c r="F138" s="16" t="n"/>
      <c r="G138" s="36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8" t="n"/>
      <c r="F139" s="16" t="n"/>
      <c r="G139" s="36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8" t="n"/>
      <c r="F140" s="16" t="n"/>
      <c r="G140" s="36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8" t="n"/>
      <c r="F141" s="16" t="n"/>
      <c r="G141" s="36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8" t="n"/>
      <c r="F142" s="16" t="n"/>
      <c r="G142" s="36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8" t="n"/>
      <c r="F143" s="16" t="n"/>
      <c r="G143" s="36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8" t="n"/>
      <c r="F144" s="16" t="n"/>
      <c r="G144" s="36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8" t="n"/>
      <c r="F145" s="16" t="n"/>
      <c r="G145" s="36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8" t="n"/>
      <c r="F146" s="16" t="n"/>
      <c r="G146" s="36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8" t="n"/>
      <c r="F147" s="16" t="n"/>
      <c r="G147" s="36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8" t="n"/>
      <c r="F148" s="16" t="n"/>
      <c r="G148" s="36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8" t="n"/>
      <c r="F149" s="16" t="n"/>
      <c r="G149" s="36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8" t="n"/>
      <c r="F150" s="16" t="n"/>
      <c r="G150" s="36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8" t="n"/>
      <c r="F151" s="16" t="n"/>
      <c r="G151" s="36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8" t="n"/>
      <c r="F152" s="16" t="n"/>
      <c r="G152" s="36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8" t="n"/>
      <c r="F153" s="16" t="n"/>
      <c r="G153" s="36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8" t="n"/>
      <c r="F154" s="16" t="n"/>
      <c r="G154" s="36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8" t="n"/>
      <c r="F155" s="16" t="n"/>
      <c r="G155" s="36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8" t="n"/>
      <c r="F156" s="16" t="n"/>
      <c r="G156" s="36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8" t="n"/>
      <c r="F157" s="16" t="n"/>
      <c r="G157" s="36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8" t="n"/>
      <c r="F158" s="16" t="n"/>
      <c r="G158" s="36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8" t="n"/>
      <c r="F159" s="16" t="n"/>
      <c r="G159" s="36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8" t="n"/>
      <c r="F160" s="16" t="n"/>
      <c r="G160" s="36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8" t="n"/>
      <c r="F161" s="16" t="n"/>
      <c r="G161" s="36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8" t="n"/>
      <c r="F162" s="16" t="n"/>
      <c r="G162" s="36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8" t="n"/>
      <c r="F163" s="16" t="n"/>
      <c r="G163" s="36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8" t="n"/>
      <c r="F164" s="16" t="n"/>
      <c r="G164" s="36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8" t="n"/>
      <c r="F165" s="16" t="n"/>
      <c r="G165" s="36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8" t="n"/>
      <c r="F166" s="16" t="n"/>
      <c r="G166" s="36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8" t="n"/>
      <c r="F167" s="16" t="n"/>
      <c r="G167" s="36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8" t="n"/>
      <c r="F168" s="16" t="n"/>
      <c r="G168" s="36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8" t="n"/>
      <c r="F169" s="16" t="n"/>
      <c r="G169" s="36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8" t="n"/>
      <c r="F170" s="16" t="n"/>
      <c r="G170" s="36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8" t="n"/>
      <c r="F171" s="16" t="n"/>
      <c r="G171" s="36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8" t="n"/>
      <c r="F172" s="16" t="n"/>
      <c r="G172" s="36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8" t="n"/>
      <c r="F173" s="16" t="n"/>
      <c r="G173" s="36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8" t="n"/>
      <c r="F174" s="16" t="n"/>
      <c r="G174" s="36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8" t="n"/>
      <c r="F175" s="16" t="n"/>
      <c r="G175" s="36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8" t="n"/>
      <c r="F176" s="16" t="n"/>
      <c r="G176" s="36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8" t="n"/>
      <c r="F177" s="16" t="n"/>
      <c r="G177" s="36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8" t="n"/>
      <c r="F178" s="16" t="n"/>
      <c r="G178" s="36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8" t="n"/>
      <c r="F179" s="16" t="n"/>
      <c r="G179" s="36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8" t="n"/>
      <c r="F180" s="16" t="n"/>
      <c r="G180" s="36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8" t="n"/>
      <c r="F181" s="16" t="n"/>
      <c r="G181" s="36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8" t="n"/>
      <c r="F182" s="16" t="n"/>
      <c r="G182" s="36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8" t="n"/>
      <c r="F183" s="16" t="n"/>
      <c r="G183" s="36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8" t="n"/>
      <c r="F184" s="16" t="n"/>
      <c r="G184" s="36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8" t="n"/>
      <c r="F185" s="16" t="n"/>
      <c r="G185" s="36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8" t="n"/>
      <c r="F186" s="16" t="n"/>
      <c r="G186" s="36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8" t="n"/>
      <c r="F187" s="16" t="n"/>
      <c r="G187" s="36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8" t="n"/>
      <c r="F188" s="16" t="n"/>
      <c r="G188" s="36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8" t="n"/>
      <c r="F189" s="16" t="n"/>
      <c r="G189" s="36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8" t="n"/>
      <c r="F190" s="16" t="n"/>
      <c r="G190" s="36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8" t="n"/>
      <c r="F191" s="16" t="n"/>
      <c r="G191" s="36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8" t="n"/>
      <c r="F192" s="16" t="n"/>
      <c r="G192" s="36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8" t="n"/>
      <c r="F193" s="16" t="n"/>
      <c r="G193" s="36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8" t="n"/>
      <c r="F194" s="16" t="n"/>
      <c r="G194" s="36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8" t="n"/>
      <c r="F195" s="16" t="n"/>
      <c r="G195" s="36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8" t="n"/>
      <c r="F196" s="16" t="n"/>
      <c r="G196" s="36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8" t="n"/>
      <c r="F197" s="16" t="n"/>
      <c r="G197" s="36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8" t="n"/>
      <c r="F198" s="16" t="n"/>
      <c r="G198" s="36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8" t="n"/>
      <c r="F199" s="16" t="n"/>
      <c r="G199" s="36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8" t="n"/>
      <c r="F200" s="16" t="n"/>
      <c r="G200" s="36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8" t="n"/>
      <c r="F201" s="16" t="n"/>
      <c r="G201" s="36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8" t="n"/>
      <c r="F202" s="16" t="n"/>
      <c r="G202" s="36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8" t="n"/>
      <c r="F203" s="16" t="n"/>
      <c r="G203" s="36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8" t="n"/>
      <c r="F204" s="16" t="n"/>
      <c r="G204" s="36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8" t="n"/>
      <c r="F205" s="16" t="n"/>
      <c r="G205" s="36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8" t="n"/>
      <c r="F206" s="16" t="n"/>
      <c r="G206" s="36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8" t="n"/>
      <c r="F207" s="16" t="n"/>
      <c r="G207" s="36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8" t="n"/>
      <c r="F208" s="16" t="n"/>
      <c r="G208" s="36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8" t="n"/>
      <c r="F209" s="16" t="n"/>
      <c r="G209" s="36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8" t="n"/>
      <c r="F210" s="16" t="n"/>
      <c r="G210" s="36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8" t="n"/>
      <c r="F211" s="16" t="n"/>
      <c r="G211" s="36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8" t="n"/>
      <c r="F212" s="16" t="n"/>
      <c r="G212" s="36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8" t="n"/>
      <c r="F213" s="16" t="n"/>
      <c r="G213" s="36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8" t="n"/>
      <c r="F214" s="16" t="n"/>
      <c r="G214" s="36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8" t="n"/>
      <c r="F215" s="16" t="n"/>
      <c r="G215" s="36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8" t="n"/>
      <c r="F216" s="16" t="n"/>
      <c r="G216" s="36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8" t="n"/>
      <c r="F217" s="16" t="n"/>
      <c r="G217" s="36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8" t="n"/>
      <c r="F218" s="16" t="n"/>
      <c r="G218" s="36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8" t="n"/>
      <c r="F219" s="16" t="n"/>
      <c r="G219" s="36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8" t="n"/>
      <c r="F220" s="16" t="n"/>
      <c r="G220" s="36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8" t="n"/>
      <c r="F221" s="16" t="n"/>
      <c r="G221" s="36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8" t="n"/>
      <c r="F222" s="16" t="n"/>
      <c r="G222" s="36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8" t="n"/>
      <c r="F223" s="16" t="n"/>
      <c r="G223" s="36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8" t="n"/>
      <c r="F224" s="16" t="n"/>
      <c r="G224" s="36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8" t="n"/>
      <c r="F225" s="16" t="n"/>
      <c r="G225" s="36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8" t="n"/>
      <c r="F226" s="16" t="n"/>
      <c r="G226" s="36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8" t="n"/>
      <c r="F227" s="16" t="n"/>
      <c r="G227" s="36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8" t="n"/>
      <c r="F228" s="16" t="n"/>
      <c r="G228" s="36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8" t="n"/>
      <c r="F229" s="16" t="n"/>
      <c r="G229" s="36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8" t="n"/>
      <c r="F230" s="16" t="n"/>
      <c r="G230" s="36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8" t="n"/>
      <c r="F231" s="16" t="n"/>
      <c r="G231" s="36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8" t="n"/>
      <c r="F232" s="16" t="n"/>
      <c r="G232" s="36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8" t="n"/>
      <c r="F233" s="16" t="n"/>
      <c r="G233" s="36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8" t="n"/>
      <c r="F234" s="16" t="n"/>
      <c r="G234" s="36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8" t="n"/>
      <c r="F235" s="16" t="n"/>
      <c r="G235" s="36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8" t="n"/>
      <c r="F236" s="16" t="n"/>
      <c r="G236" s="36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8" t="n"/>
      <c r="F237" s="16" t="n"/>
      <c r="G237" s="36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8" t="n"/>
      <c r="F238" s="16" t="n"/>
      <c r="G238" s="36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8" t="n"/>
      <c r="F239" s="16" t="n"/>
      <c r="G239" s="36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8" t="n"/>
      <c r="F240" s="16" t="n"/>
      <c r="G240" s="36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8" t="n"/>
      <c r="F241" s="16" t="n"/>
      <c r="G241" s="36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8" t="n"/>
      <c r="F242" s="16" t="n"/>
      <c r="G242" s="36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8" t="n"/>
      <c r="F243" s="16" t="n"/>
      <c r="G243" s="36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8" t="n"/>
      <c r="F244" s="16" t="n"/>
      <c r="G244" s="36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8" t="n"/>
      <c r="F245" s="16" t="n"/>
      <c r="G245" s="36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8" t="n"/>
      <c r="F246" s="16" t="n"/>
      <c r="G246" s="36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8" t="n"/>
      <c r="F247" s="16" t="n"/>
      <c r="G247" s="36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8" t="n"/>
      <c r="F248" s="16" t="n"/>
      <c r="G248" s="36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8" t="n"/>
      <c r="F249" s="16" t="n"/>
      <c r="G249" s="36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8" t="n"/>
      <c r="F250" s="16" t="n"/>
      <c r="G250" s="36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8" t="n"/>
      <c r="F251" s="16" t="n"/>
      <c r="G251" s="36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8" t="n"/>
      <c r="F252" s="16" t="n"/>
      <c r="G252" s="36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8" t="n"/>
      <c r="F253" s="16" t="n"/>
      <c r="G253" s="36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8" t="n"/>
      <c r="F254" s="16" t="n"/>
      <c r="G254" s="36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8" t="n"/>
      <c r="F255" s="16" t="n"/>
      <c r="G255" s="36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8" t="n"/>
      <c r="F256" s="16" t="n"/>
      <c r="G256" s="36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8" t="n"/>
      <c r="F257" s="16" t="n"/>
      <c r="G257" s="36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8" t="n"/>
      <c r="F258" s="16" t="n"/>
      <c r="G258" s="36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8" t="n"/>
      <c r="F259" s="16" t="n"/>
      <c r="G259" s="36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8" t="n"/>
      <c r="F260" s="16" t="n"/>
      <c r="G260" s="36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8" t="n"/>
      <c r="F261" s="16" t="n"/>
      <c r="G261" s="36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8" t="n"/>
      <c r="F262" s="16" t="n"/>
      <c r="G262" s="36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8" t="n"/>
      <c r="F263" s="16" t="n"/>
      <c r="G263" s="36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8" t="n"/>
      <c r="F264" s="16" t="n"/>
      <c r="G264" s="36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8" t="n"/>
      <c r="F265" s="16" t="n"/>
      <c r="G265" s="36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8" t="n"/>
      <c r="F266" s="16" t="n"/>
      <c r="G266" s="36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8" t="n"/>
      <c r="F267" s="16" t="n"/>
      <c r="G267" s="36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8" t="n"/>
      <c r="F268" s="16" t="n"/>
      <c r="G268" s="36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8" t="n"/>
      <c r="F269" s="16" t="n"/>
      <c r="G269" s="36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8" t="n"/>
      <c r="F270" s="16" t="n"/>
      <c r="G270" s="36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8" t="n"/>
      <c r="F271" s="16" t="n"/>
      <c r="G271" s="36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8" t="n"/>
      <c r="F272" s="16" t="n"/>
      <c r="G272" s="36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8" t="n"/>
      <c r="F273" s="16" t="n"/>
      <c r="G273" s="36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8" t="n"/>
      <c r="F274" s="16" t="n"/>
      <c r="G274" s="36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8" t="n"/>
      <c r="F275" s="16" t="n"/>
      <c r="G275" s="36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8" t="n"/>
      <c r="F276" s="16" t="n"/>
      <c r="G276" s="36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8" t="n"/>
      <c r="F277" s="16" t="n"/>
      <c r="G277" s="36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8" t="n"/>
      <c r="F278" s="16" t="n"/>
      <c r="G278" s="36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8" t="n"/>
      <c r="F279" s="16" t="n"/>
      <c r="G279" s="36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8" t="n"/>
      <c r="F280" s="16" t="n"/>
      <c r="G280" s="36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8" t="n"/>
      <c r="F281" s="16" t="n"/>
      <c r="G281" s="36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8" t="n"/>
      <c r="F282" s="16" t="n"/>
      <c r="G282" s="36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8" t="n"/>
      <c r="F283" s="16" t="n"/>
      <c r="G283" s="36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8" t="n"/>
      <c r="F284" s="16" t="n"/>
      <c r="G284" s="36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8" t="n"/>
      <c r="F285" s="16" t="n"/>
      <c r="G285" s="36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8" t="n"/>
      <c r="F286" s="16" t="n"/>
      <c r="G286" s="36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8" t="n"/>
      <c r="F287" s="16" t="n"/>
      <c r="G287" s="36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8" t="n"/>
      <c r="F288" s="16" t="n"/>
      <c r="G288" s="36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8" t="n"/>
      <c r="F289" s="16" t="n"/>
      <c r="G289" s="36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8" t="n"/>
      <c r="F290" s="16" t="n"/>
      <c r="G290" s="36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8" t="n"/>
      <c r="F291" s="16" t="n"/>
      <c r="G291" s="36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8" t="n"/>
      <c r="F292" s="16" t="n"/>
      <c r="G292" s="36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8" t="n"/>
      <c r="F293" s="16" t="n"/>
      <c r="G293" s="36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8" t="n"/>
      <c r="F294" s="16" t="n"/>
      <c r="G294" s="36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8" t="n"/>
      <c r="F295" s="16" t="n"/>
      <c r="G295" s="36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8" t="n"/>
      <c r="F296" s="16" t="n"/>
      <c r="G296" s="36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8" t="n"/>
      <c r="F297" s="16" t="n"/>
      <c r="G297" s="36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8" t="n"/>
      <c r="F298" s="16" t="n"/>
      <c r="G298" s="36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8" t="n"/>
      <c r="F299" s="16" t="n"/>
      <c r="G299" s="36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8" t="n"/>
      <c r="F300" s="16" t="n"/>
      <c r="G300" s="36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8" t="n"/>
      <c r="F301" s="16" t="n"/>
      <c r="G301" s="36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8" t="n"/>
      <c r="F302" s="16" t="n"/>
      <c r="G302" s="36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8" t="n"/>
      <c r="F303" s="16" t="n"/>
      <c r="G303" s="36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8" t="n"/>
      <c r="F304" s="16" t="n"/>
      <c r="G304" s="36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8" t="n"/>
      <c r="F305" s="16" t="n"/>
      <c r="G305" s="36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8" t="n"/>
      <c r="F306" s="16" t="n"/>
      <c r="G306" s="36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8" t="n"/>
      <c r="F307" s="16" t="n"/>
      <c r="G307" s="36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8" t="n"/>
      <c r="F308" s="16" t="n"/>
      <c r="G308" s="36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8" t="n"/>
      <c r="F309" s="16" t="n"/>
      <c r="G309" s="36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8" t="n"/>
      <c r="F310" s="16" t="n"/>
      <c r="G310" s="36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8" t="n"/>
      <c r="F311" s="16" t="n"/>
      <c r="G311" s="36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8" t="n"/>
      <c r="F312" s="16" t="n"/>
      <c r="G312" s="36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8" t="n"/>
      <c r="F313" s="16" t="n"/>
      <c r="G313" s="36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8" t="n"/>
      <c r="F314" s="16" t="n"/>
      <c r="G314" s="36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8" t="n"/>
      <c r="F315" s="16" t="n"/>
      <c r="G315" s="36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8" t="n"/>
      <c r="F316" s="16" t="n"/>
      <c r="G316" s="36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8" t="n"/>
      <c r="F317" s="16" t="n"/>
      <c r="G317" s="36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8" t="n"/>
      <c r="F318" s="16" t="n"/>
      <c r="G318" s="36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8" t="n"/>
      <c r="F319" s="16" t="n"/>
      <c r="G319" s="36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8" t="n"/>
      <c r="F320" s="16" t="n"/>
      <c r="G320" s="36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8" t="n"/>
      <c r="F321" s="16" t="n"/>
      <c r="G321" s="36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8" t="n"/>
      <c r="F322" s="16" t="n"/>
      <c r="G322" s="36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8" t="n"/>
      <c r="F323" s="16" t="n"/>
      <c r="G323" s="36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8" t="n"/>
      <c r="F324" s="16" t="n"/>
      <c r="G324" s="36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8" t="n"/>
      <c r="F325" s="16" t="n"/>
      <c r="G325" s="36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8" t="n"/>
      <c r="F326" s="16" t="n"/>
      <c r="G326" s="36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8" t="n"/>
      <c r="F327" s="16" t="n"/>
      <c r="G327" s="36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8" t="n"/>
      <c r="F328" s="16" t="n"/>
      <c r="G328" s="36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8" t="n"/>
      <c r="F329" s="16" t="n"/>
      <c r="G329" s="36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8" t="n"/>
      <c r="F330" s="16" t="n"/>
      <c r="G330" s="36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8" t="n"/>
      <c r="F331" s="16" t="n"/>
      <c r="G331" s="36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8" t="n"/>
      <c r="F332" s="16" t="n"/>
      <c r="G332" s="36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8" t="n"/>
      <c r="F333" s="16" t="n"/>
      <c r="G333" s="36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8" t="n"/>
      <c r="F334" s="16" t="n"/>
      <c r="G334" s="36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8" t="n"/>
      <c r="F335" s="16" t="n"/>
      <c r="G335" s="36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8" t="n"/>
      <c r="F336" s="16" t="n"/>
      <c r="G336" s="36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8" t="n"/>
      <c r="F337" s="16" t="n"/>
      <c r="G337" s="36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8" t="n"/>
      <c r="F338" s="16" t="n"/>
      <c r="G338" s="36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8" t="n"/>
      <c r="F339" s="16" t="n"/>
      <c r="G339" s="36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8" t="n"/>
      <c r="F340" s="16" t="n"/>
      <c r="G340" s="36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8" t="n"/>
      <c r="F341" s="16" t="n"/>
      <c r="G341" s="36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8" t="n"/>
      <c r="F342" s="16" t="n"/>
      <c r="G342" s="36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8" t="n"/>
      <c r="F343" s="16" t="n"/>
      <c r="G343" s="36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8" t="n"/>
      <c r="F344" s="16" t="n"/>
      <c r="G344" s="36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8" t="n"/>
      <c r="F345" s="16" t="n"/>
      <c r="G345" s="36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8" t="n"/>
      <c r="F346" s="16" t="n"/>
      <c r="G346" s="36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8" t="n"/>
      <c r="F347" s="16" t="n"/>
      <c r="G347" s="36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8" t="n"/>
      <c r="F348" s="16" t="n"/>
      <c r="G348" s="36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8" t="n"/>
      <c r="F349" s="16" t="n"/>
      <c r="G349" s="36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8" t="n"/>
      <c r="F350" s="16" t="n"/>
      <c r="G350" s="36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8" t="n"/>
      <c r="F351" s="16" t="n"/>
      <c r="G351" s="36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8" t="n"/>
      <c r="F352" s="16" t="n"/>
      <c r="G352" s="36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8" t="n"/>
      <c r="F353" s="16" t="n"/>
      <c r="G353" s="36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8" t="n"/>
      <c r="F354" s="16" t="n"/>
      <c r="G354" s="36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8" t="n"/>
      <c r="F355" s="16" t="n"/>
      <c r="G355" s="36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8" t="n"/>
      <c r="F356" s="16" t="n"/>
      <c r="G356" s="36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8" t="n"/>
      <c r="F357" s="16" t="n"/>
      <c r="G357" s="36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8" t="n"/>
      <c r="F358" s="16" t="n"/>
      <c r="G358" s="36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8" t="n"/>
      <c r="F359" s="16" t="n"/>
      <c r="G359" s="36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8" t="n"/>
      <c r="F360" s="16" t="n"/>
      <c r="G360" s="36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8" t="n"/>
      <c r="F361" s="16" t="n"/>
      <c r="G361" s="36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8" t="n"/>
      <c r="F362" s="16" t="n"/>
      <c r="G362" s="36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8" t="n"/>
      <c r="F363" s="16" t="n"/>
      <c r="G363" s="36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8" t="n"/>
      <c r="F364" s="16" t="n"/>
      <c r="G364" s="36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8" t="n"/>
      <c r="F365" s="16" t="n"/>
      <c r="G365" s="36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8" t="n"/>
      <c r="F366" s="16" t="n"/>
      <c r="G366" s="36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8" t="n"/>
      <c r="F367" s="16" t="n"/>
      <c r="G367" s="36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8" t="n"/>
      <c r="F368" s="16" t="n"/>
      <c r="G368" s="36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8" t="n"/>
      <c r="F369" s="16" t="n"/>
      <c r="G369" s="36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8" t="n"/>
      <c r="F370" s="16" t="n"/>
      <c r="G370" s="36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8" t="n"/>
      <c r="F371" s="16" t="n"/>
      <c r="G371" s="36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8" t="n"/>
      <c r="F372" s="16" t="n"/>
      <c r="G372" s="36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8" t="n"/>
      <c r="F373" s="16" t="n"/>
      <c r="G373" s="36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8" t="n"/>
      <c r="F374" s="16" t="n"/>
      <c r="G374" s="36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8" t="n"/>
      <c r="F375" s="16" t="n"/>
      <c r="G375" s="36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8" t="n"/>
      <c r="F376" s="16" t="n"/>
      <c r="G376" s="36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8" t="n"/>
      <c r="F377" s="16" t="n"/>
      <c r="G377" s="36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8" t="n"/>
      <c r="F378" s="16" t="n"/>
      <c r="G378" s="36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8" t="n"/>
      <c r="F379" s="16" t="n"/>
      <c r="G379" s="36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8" t="n"/>
      <c r="F380" s="16" t="n"/>
      <c r="G380" s="36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8" t="n"/>
      <c r="F381" s="16" t="n"/>
      <c r="G381" s="36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8" t="n"/>
      <c r="F382" s="16" t="n"/>
      <c r="G382" s="36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8" t="n"/>
      <c r="F383" s="16" t="n"/>
      <c r="G383" s="36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8" t="n"/>
      <c r="F384" s="16" t="n"/>
      <c r="G384" s="36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8" t="n"/>
      <c r="F385" s="16" t="n"/>
      <c r="G385" s="36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8" t="n"/>
      <c r="F386" s="16" t="n"/>
      <c r="G386" s="36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8" t="n"/>
      <c r="F387" s="16" t="n"/>
      <c r="G387" s="36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8" t="n"/>
      <c r="F388" s="16" t="n"/>
      <c r="G388" s="36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8" t="n"/>
      <c r="F389" s="16" t="n"/>
      <c r="G389" s="36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8" t="n"/>
      <c r="F390" s="16" t="n"/>
      <c r="G390" s="36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8" t="n"/>
      <c r="F391" s="16" t="n"/>
      <c r="G391" s="36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8" t="n"/>
      <c r="F392" s="16" t="n"/>
      <c r="G392" s="36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8" t="n"/>
      <c r="F393" s="16" t="n"/>
      <c r="G393" s="36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8" t="n"/>
      <c r="F394" s="16" t="n"/>
      <c r="G394" s="36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8" t="n"/>
      <c r="F395" s="16" t="n"/>
      <c r="G395" s="36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8" t="n"/>
      <c r="F396" s="16" t="n"/>
      <c r="G396" s="36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8" t="n"/>
      <c r="F397" s="16" t="n"/>
      <c r="G397" s="36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8" t="n"/>
      <c r="F398" s="16" t="n"/>
      <c r="G398" s="36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8" t="n"/>
      <c r="F399" s="16" t="n"/>
      <c r="G399" s="36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8" t="n"/>
      <c r="F400" s="16" t="n"/>
      <c r="G400" s="36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8" t="n"/>
      <c r="F401" s="16" t="n"/>
      <c r="G401" s="36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8" t="n"/>
      <c r="F402" s="16" t="n"/>
      <c r="G402" s="36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8" t="n"/>
      <c r="F403" s="16" t="n"/>
      <c r="G403" s="36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8" t="n"/>
      <c r="F404" s="16" t="n"/>
      <c r="G404" s="36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8" t="n"/>
      <c r="F405" s="16" t="n"/>
      <c r="G405" s="36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8" t="n"/>
      <c r="F406" s="16" t="n"/>
      <c r="G406" s="36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8" t="n"/>
      <c r="F407" s="16" t="n"/>
      <c r="G407" s="36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8" t="n"/>
      <c r="F408" s="16" t="n"/>
      <c r="G408" s="36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8" t="n"/>
      <c r="F409" s="16" t="n"/>
      <c r="G409" s="36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8" t="n"/>
      <c r="F410" s="16" t="n"/>
      <c r="G410" s="36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8" t="n"/>
      <c r="F411" s="16" t="n"/>
      <c r="G411" s="36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8" t="n"/>
      <c r="F412" s="16" t="n"/>
      <c r="G412" s="36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8" t="n"/>
      <c r="F413" s="16" t="n"/>
      <c r="G413" s="36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8" t="n"/>
      <c r="F414" s="16" t="n"/>
      <c r="G414" s="36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8" t="n"/>
      <c r="F415" s="16" t="n"/>
      <c r="G415" s="36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8" t="n"/>
      <c r="F416" s="16" t="n"/>
      <c r="G416" s="36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8" t="n"/>
      <c r="F417" s="16" t="n"/>
      <c r="G417" s="36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8" t="n"/>
      <c r="F418" s="16" t="n"/>
      <c r="G418" s="36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8" t="n"/>
      <c r="F419" s="16" t="n"/>
      <c r="G419" s="36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8" t="n"/>
      <c r="F420" s="16" t="n"/>
      <c r="G420" s="36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8" t="n"/>
      <c r="F421" s="16" t="n"/>
      <c r="G421" s="36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8" t="n"/>
      <c r="F422" s="16" t="n"/>
      <c r="G422" s="36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8" t="n"/>
      <c r="F423" s="16" t="n"/>
      <c r="G423" s="36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8" t="n"/>
      <c r="F424" s="16" t="n"/>
      <c r="G424" s="36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8" t="n"/>
      <c r="F425" s="16" t="n"/>
      <c r="G425" s="36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8" t="n"/>
      <c r="F426" s="16" t="n"/>
      <c r="G426" s="36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8" t="n"/>
      <c r="F427" s="16" t="n"/>
      <c r="G427" s="36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8" t="n"/>
      <c r="F428" s="16" t="n"/>
      <c r="G428" s="36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8" t="n"/>
      <c r="F429" s="16" t="n"/>
      <c r="G429" s="36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8" t="n"/>
      <c r="F430" s="16" t="n"/>
      <c r="G430" s="36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8" t="n"/>
      <c r="F431" s="16" t="n"/>
      <c r="G431" s="36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8" t="n"/>
      <c r="F432" s="16" t="n"/>
      <c r="G432" s="36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8" t="n"/>
      <c r="F433" s="16" t="n"/>
      <c r="G433" s="36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8" t="n"/>
      <c r="F434" s="16" t="n"/>
      <c r="G434" s="36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8" t="n"/>
      <c r="F435" s="16" t="n"/>
      <c r="G435" s="36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8" t="n"/>
      <c r="F436" s="16" t="n"/>
      <c r="G436" s="36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8" t="n"/>
      <c r="F437" s="16" t="n"/>
      <c r="G437" s="36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8" t="n"/>
      <c r="F438" s="16" t="n"/>
      <c r="G438" s="36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8" t="n"/>
      <c r="F439" s="16" t="n"/>
      <c r="G439" s="36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8" t="n"/>
      <c r="F440" s="16" t="n"/>
      <c r="G440" s="36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8" t="n"/>
      <c r="F441" s="16" t="n"/>
      <c r="G441" s="36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8" t="n"/>
      <c r="F442" s="16" t="n"/>
      <c r="G442" s="36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8" t="n"/>
      <c r="F443" s="16" t="n"/>
      <c r="G443" s="36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8" t="n"/>
      <c r="F444" s="16" t="n"/>
      <c r="G444" s="36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8" t="n"/>
      <c r="F445" s="16" t="n"/>
      <c r="G445" s="36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8" t="n"/>
      <c r="F446" s="16" t="n"/>
      <c r="G446" s="36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8" t="n"/>
      <c r="F447" s="16" t="n"/>
      <c r="G447" s="36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8" t="n"/>
      <c r="F448" s="16" t="n"/>
      <c r="G448" s="36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8" t="n"/>
      <c r="F449" s="16" t="n"/>
      <c r="G449" s="36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8" t="n"/>
      <c r="F450" s="16" t="n"/>
      <c r="G450" s="36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8" t="n"/>
      <c r="F451" s="16" t="n"/>
      <c r="G451" s="36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8" t="n"/>
      <c r="F452" s="16" t="n"/>
      <c r="G452" s="36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8" t="n"/>
      <c r="F453" s="16" t="n"/>
      <c r="G453" s="36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8" t="n"/>
      <c r="F454" s="16" t="n"/>
      <c r="G454" s="36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8" t="n"/>
      <c r="F455" s="16" t="n"/>
      <c r="G455" s="36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8" t="n"/>
      <c r="F456" s="16" t="n"/>
      <c r="G456" s="36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8" t="n"/>
      <c r="F457" s="16" t="n"/>
      <c r="G457" s="36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8" t="n"/>
      <c r="F458" s="16" t="n"/>
      <c r="G458" s="36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8" t="n"/>
      <c r="F459" s="16" t="n"/>
      <c r="G459" s="36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8" t="n"/>
      <c r="F460" s="16" t="n"/>
      <c r="G460" s="36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8" t="n"/>
      <c r="F461" s="16" t="n"/>
      <c r="G461" s="36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8" t="n"/>
      <c r="F462" s="16" t="n"/>
      <c r="G462" s="36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8" t="n"/>
      <c r="F463" s="16" t="n"/>
      <c r="G463" s="36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8" t="n"/>
      <c r="F464" s="16" t="n"/>
      <c r="G464" s="36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8" t="n"/>
      <c r="F465" s="16" t="n"/>
      <c r="G465" s="36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8" t="n"/>
      <c r="F466" s="16" t="n"/>
      <c r="G466" s="36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8" t="n"/>
      <c r="F467" s="16" t="n"/>
      <c r="G467" s="36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8" t="n"/>
      <c r="F468" s="16" t="n"/>
      <c r="G468" s="36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8" t="n"/>
      <c r="F469" s="16" t="n"/>
      <c r="G469" s="36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8" t="n"/>
      <c r="F470" s="16" t="n"/>
      <c r="G470" s="36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8" t="n"/>
      <c r="F471" s="16" t="n"/>
      <c r="G471" s="36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8" t="n"/>
      <c r="F472" s="16" t="n"/>
      <c r="G472" s="36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8" t="n"/>
      <c r="F473" s="16" t="n"/>
      <c r="G473" s="36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8" t="n"/>
      <c r="F474" s="16" t="n"/>
      <c r="G474" s="36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8" t="n"/>
      <c r="F475" s="16" t="n"/>
      <c r="G475" s="36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8" t="n"/>
      <c r="F476" s="16" t="n"/>
      <c r="G476" s="36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8" t="n"/>
      <c r="F477" s="16" t="n"/>
      <c r="G477" s="36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8" t="n"/>
      <c r="F478" s="16" t="n"/>
      <c r="G478" s="36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8" t="n"/>
      <c r="F479" s="16" t="n"/>
      <c r="G479" s="36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8" t="n"/>
      <c r="F480" s="16" t="n"/>
      <c r="G480" s="36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8" t="n"/>
      <c r="F481" s="16" t="n"/>
      <c r="G481" s="36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8" t="n"/>
      <c r="F482" s="16" t="n"/>
      <c r="G482" s="36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8" t="n"/>
      <c r="F483" s="16" t="n"/>
      <c r="G483" s="36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8" t="n"/>
      <c r="F484" s="16" t="n"/>
      <c r="G484" s="36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8" t="n"/>
      <c r="F485" s="16" t="n"/>
      <c r="G485" s="36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8" t="n"/>
      <c r="F486" s="16" t="n"/>
      <c r="G486" s="36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8" t="n"/>
      <c r="F487" s="16" t="n"/>
      <c r="G487" s="36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8" t="n"/>
      <c r="F488" s="16" t="n"/>
      <c r="G488" s="36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8" t="n"/>
      <c r="F489" s="16" t="n"/>
      <c r="G489" s="36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8" t="n"/>
      <c r="F490" s="16" t="n"/>
      <c r="G490" s="36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8" t="n"/>
      <c r="F491" s="16" t="n"/>
      <c r="G491" s="36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8" t="n"/>
      <c r="F492" s="16" t="n"/>
      <c r="G492" s="36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8" t="n"/>
      <c r="F493" s="16" t="n"/>
      <c r="G493" s="36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8" t="n"/>
      <c r="F494" s="16" t="n"/>
      <c r="G494" s="36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8" t="n"/>
      <c r="F495" s="16" t="n"/>
      <c r="G495" s="36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8" t="n"/>
      <c r="F496" s="16" t="n"/>
      <c r="G496" s="36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8" t="n"/>
      <c r="F497" s="16" t="n"/>
      <c r="G497" s="36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8" t="n"/>
      <c r="F498" s="16" t="n"/>
      <c r="G498" s="36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8" t="n"/>
      <c r="F499" s="16" t="n"/>
      <c r="G499" s="36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8" t="n"/>
      <c r="F500" s="16" t="n"/>
      <c r="G500" s="36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'AREAS'!$A$2:$A$12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AMIRA — Live profissional · captação, operação e transmissão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AMIRA — Live profissional · captação, operação e transmissão</dc:title>
  <dcterms:created xsi:type="dcterms:W3CDTF">2026-08-22T14:15:29Z</dcterms:created>
  <dcterms:modified xsi:type="dcterms:W3CDTF">2026-08-22T14:15:29Z</dcterms:modified>
  <cp:lastModifiedBy>Felype · felype@yadfilmes.com.br</cp:lastModifiedBy>
</cp:coreProperties>
</file>