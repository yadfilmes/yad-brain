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REAS" sheetId="2" state="visible" r:id="rId2"/>
    <sheet name="SAIDAS" sheetId="3" state="visible" r:id="rId3"/>
  </sheets>
  <definedNames>
    <definedName name="_xlnm._FilterDatabase" localSheetId="2" hidden="1">'SAIDAS'!$B$5:$J$500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DD/MM/YYYY"/>
    <numFmt numFmtId="166" formatCode="yyyy-mm-dd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1F2933"/>
      <sz val="16"/>
    </font>
    <font>
      <i val="1"/>
      <color rgb="0052606D"/>
    </font>
    <font>
      <b val="1"/>
      <color rgb="001F2933"/>
      <sz val="20"/>
    </font>
    <font>
      <b val="1"/>
      <color rgb="003E4C59"/>
      <sz val="13"/>
    </font>
    <font>
      <color rgb="0052606D"/>
      <sz val="10"/>
    </font>
    <font>
      <b val="1"/>
      <color rgb="00FFFFFF"/>
      <sz val="11"/>
    </font>
    <font>
      <b val="1"/>
      <sz val="12"/>
    </font>
    <font>
      <i val="1"/>
    </font>
    <font>
      <b val="1"/>
      <sz val="14"/>
    </font>
    <font>
      <b val="1"/>
      <i val="1"/>
      <color rgb="0052606D"/>
    </font>
  </fonts>
  <fills count="7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FFF3C4"/>
      </patternFill>
    </fill>
    <fill>
      <patternFill patternType="solid">
        <fgColor rgb="00F5F7FA"/>
      </patternFill>
    </fill>
    <fill>
      <patternFill patternType="solid">
        <fgColor rgb="003E4C59"/>
      </patternFill>
    </fill>
    <fill>
      <patternFill patternType="solid">
        <fgColor rgb="00E3F9E5"/>
      </patternFill>
    </fill>
  </fills>
  <borders count="2">
    <border>
      <left/>
      <right/>
      <top/>
      <bottom/>
      <diagonal/>
    </border>
    <border>
      <left style="thin">
        <color rgb="00CBD2D9"/>
      </left>
      <right style="thin">
        <color rgb="00CBD2D9"/>
      </right>
      <top style="thin">
        <color rgb="00CBD2D9"/>
      </top>
      <bottom style="thin">
        <color rgb="00CBD2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5" fillId="0" borderId="0" pivotButton="0" quotePrefix="0" xfId="0"/>
    <xf numFmtId="0" fontId="12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5" borderId="0" applyAlignment="1" pivotButton="0" quotePrefix="0" xfId="0">
      <alignment vertical="center" indent="1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3" borderId="1" pivotButton="0" quotePrefix="0" xfId="0"/>
    <xf numFmtId="0" fontId="2" fillId="0" borderId="1" pivotButton="0" quotePrefix="0" xfId="0"/>
    <xf numFmtId="167" fontId="0" fillId="3" borderId="1" pivotButton="0" quotePrefix="0" xfId="0"/>
    <xf numFmtId="0" fontId="9" fillId="6" borderId="1" pivotButton="0" quotePrefix="0" xfId="0"/>
    <xf numFmtId="164" fontId="9" fillId="6" borderId="1" pivotButton="0" quotePrefix="0" xfId="0"/>
    <xf numFmtId="167" fontId="0" fillId="0" borderId="1" applyAlignment="1" pivotButton="0" quotePrefix="0" xfId="0">
      <alignment horizontal="center"/>
    </xf>
    <xf numFmtId="0" fontId="10" fillId="0" borderId="1" pivotButton="0" quotePrefix="0" xfId="0"/>
    <xf numFmtId="0" fontId="9" fillId="0" borderId="1" pivotButton="0" quotePrefix="0" xfId="0"/>
    <xf numFmtId="164" fontId="9" fillId="0" borderId="1" pivotButton="0" quotePrefix="0" xfId="0"/>
    <xf numFmtId="167" fontId="9" fillId="0" borderId="1" applyAlignment="1" pivotButton="0" quotePrefix="0" xfId="0">
      <alignment horizontal="center"/>
    </xf>
    <xf numFmtId="0" fontId="11" fillId="0" borderId="1" pivotButton="0" quotePrefix="0" xfId="0"/>
    <xf numFmtId="164" fontId="11" fillId="0" borderId="1" pivotButton="0" quotePrefix="0" xfId="0"/>
    <xf numFmtId="167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3" borderId="1" pivotButton="0" quotePrefix="0" xfId="0"/>
    <xf numFmtId="0" fontId="3" fillId="0" borderId="0" pivotButton="0" quotePrefix="0" xfId="0"/>
    <xf numFmtId="164" fontId="0" fillId="4" borderId="1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b val="1"/>
        <color rgb="009B1C1C"/>
      </font>
      <fill>
        <patternFill patternType="solid">
          <fgColor rgb="00FFE3E3"/>
        </patternFill>
      </fill>
    </dxf>
    <dxf>
      <fill>
        <patternFill patternType="solid">
          <fgColor rgb="00FFE3E3"/>
        </patternFill>
      </fill>
    </dxf>
    <dxf>
      <fill>
        <patternFill patternType="solid">
          <fgColor rgb="00E3F9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7"/>
  <sheetViews>
    <sheetView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7" customWidth="1" min="3" max="3"/>
    <col width="16" customWidth="1" min="4" max="4"/>
    <col width="14" customWidth="1" min="5" max="5"/>
    <col width="34" customWidth="1" min="6" max="6"/>
  </cols>
  <sheetData>
    <row r="2">
      <c r="B2" s="1" t="inlineStr">
        <is>
          <t>PRESSUPOSTO REAL</t>
        </is>
      </c>
      <c r="F2" s="2" t="inlineStr">
        <is>
          <t>Preencha só a aba SAÍDAS. Esta aqui é toda fórmula.</t>
        </is>
      </c>
    </row>
    <row r="3">
      <c r="B3" s="3" t="inlineStr">
        <is>
          <t>BARRETOS 2026 — 6 câmeras + lentes servo + lentes EF + equipe técnica + montagem</t>
        </is>
      </c>
      <c r="F3" s="4" t="inlineStr">
        <is>
          <t>Amarelo = campo para digitar.</t>
        </is>
      </c>
    </row>
    <row r="4">
      <c r="B4" s="5" t="inlineStr">
        <is>
          <t>Cliente: CLUBE DO COWBOY</t>
        </is>
      </c>
    </row>
    <row r="5">
      <c r="B5" s="5" t="inlineStr">
        <is>
          <t>Contato: ALEX (034) 99645-0612</t>
        </is>
      </c>
    </row>
    <row r="6">
      <c r="B6" s="5" t="inlineStr">
        <is>
          <t>Período: 19/08/2026 a 31/08/2026 — 10 diárias</t>
        </is>
      </c>
    </row>
    <row r="8" ht="22" customHeight="1">
      <c r="B8" s="6" t="inlineStr">
        <is>
          <t>1.  ENTRADAS — o que o cliente paga</t>
        </is>
      </c>
    </row>
    <row r="9" ht="28" customHeight="1">
      <c r="B9" s="7" t="inlineStr">
        <is>
          <t>DESCRIÇÃO</t>
        </is>
      </c>
      <c r="C9" s="7" t="inlineStr">
        <is>
          <t>VALOR</t>
        </is>
      </c>
      <c r="D9" s="7" t="inlineStr">
        <is>
          <t>DATA PREVISTA</t>
        </is>
      </c>
      <c r="E9" s="7" t="inlineStr">
        <is>
          <t>STATUS</t>
        </is>
      </c>
      <c r="F9" s="7" t="inlineStr">
        <is>
          <t>OBS</t>
        </is>
      </c>
    </row>
    <row r="10">
      <c r="B10" s="8" t="inlineStr">
        <is>
          <t>1ª parcela (50%) — até 10 dias antes das captações</t>
        </is>
      </c>
      <c r="C10" s="9" t="n">
        <v>40500</v>
      </c>
      <c r="D10" s="10" t="n">
        <v>46241</v>
      </c>
      <c r="E10" s="11" t="inlineStr">
        <is>
          <t>A RECEBER</t>
        </is>
      </c>
      <c r="F10" s="8" t="inlineStr">
        <is>
          <t>conforme pagamento da Sony · PIX ou transferência</t>
        </is>
      </c>
    </row>
    <row r="11">
      <c r="B11" s="8" t="inlineStr">
        <is>
          <t>2ª parcela (50%) — até 10 dias após as captações</t>
        </is>
      </c>
      <c r="C11" s="9" t="n">
        <v>40500</v>
      </c>
      <c r="D11" s="10" t="n">
        <v>46275</v>
      </c>
      <c r="E11" s="11" t="inlineStr">
        <is>
          <t>A RECEBER</t>
        </is>
      </c>
      <c r="F11" s="8" t="inlineStr">
        <is>
          <t>proposta final Alex: R$ 81.000 (valor 2025 + 8% inflação)</t>
        </is>
      </c>
    </row>
    <row r="12">
      <c r="B12" s="8" t="n"/>
      <c r="C12" s="12" t="n"/>
      <c r="D12" s="10" t="n"/>
      <c r="E12" s="11" t="n"/>
      <c r="F12" s="8" t="n"/>
    </row>
    <row r="13">
      <c r="B13" s="8" t="n"/>
      <c r="C13" s="12" t="n"/>
      <c r="D13" s="10" t="n"/>
      <c r="E13" s="11" t="n"/>
      <c r="F13" s="8" t="n"/>
    </row>
    <row r="14">
      <c r="B14" s="8" t="n"/>
      <c r="C14" s="12" t="n"/>
      <c r="D14" s="10" t="n"/>
      <c r="E14" s="11" t="n"/>
      <c r="F14" s="8" t="n"/>
    </row>
    <row r="15">
      <c r="B15" s="13" t="inlineStr">
        <is>
          <t>TOTAL ENTRADAS (BRUTO)</t>
        </is>
      </c>
      <c r="C15" s="9">
        <f>SUM(C10:C14)</f>
        <v/>
      </c>
    </row>
    <row r="16">
      <c r="B16" s="8" t="inlineStr">
        <is>
          <t>IMPOSTO (%)  ← edite aqui se mudar</t>
        </is>
      </c>
      <c r="C16" s="14" t="n">
        <v>0.16</v>
      </c>
    </row>
    <row r="17">
      <c r="B17" s="8" t="inlineStr">
        <is>
          <t>(−) IMPOSTO</t>
        </is>
      </c>
      <c r="C17" s="9">
        <f>ROUND(C15*C16,2)</f>
        <v/>
      </c>
    </row>
    <row r="18">
      <c r="B18" s="15" t="inlineStr">
        <is>
          <t>(=) ENTRADA LÍQUIDA — é com isso que se paga tudo</t>
        </is>
      </c>
      <c r="C18" s="16">
        <f>C15-C17</f>
        <v/>
      </c>
    </row>
    <row r="20" ht="22" customHeight="1">
      <c r="B20" s="6" t="inlineStr">
        <is>
          <t>2.  SAÍDAS POR ÁREA — vem sozinho da aba SAÍDAS</t>
        </is>
      </c>
    </row>
    <row r="21" ht="28" customHeight="1">
      <c r="B21" s="7" t="inlineStr">
        <is>
          <t>ÁREA</t>
        </is>
      </c>
      <c r="C21" s="7" t="inlineStr">
        <is>
          <t>VALOR</t>
        </is>
      </c>
      <c r="D21" s="7" t="inlineStr">
        <is>
          <t>% DA LÍQUIDA</t>
        </is>
      </c>
      <c r="E21" s="7" t="inlineStr">
        <is>
          <t>PAGO</t>
        </is>
      </c>
      <c r="F21" s="7" t="inlineStr">
        <is>
          <t>A PAGAR</t>
        </is>
      </c>
    </row>
    <row r="22">
      <c r="B22" s="8">
        <f>IF(AREAS!$A$2="","",AREAS!$A$2)</f>
        <v/>
      </c>
      <c r="C22" s="9">
        <f>IF(B22="","",SUMIF(SAIDAS!$B$6:$B$500,B22,SAIDAS!$G$6:$G$500))</f>
        <v/>
      </c>
      <c r="D22" s="17">
        <f>IF(OR(B22="",$C$18=0),"",C22/$C$18)</f>
        <v/>
      </c>
      <c r="E22" s="9">
        <f>IF(B22="","",SUMIFS(SAIDAS!$G$6:$G$500,SAIDAS!$B$6:$B$500,B22,SAIDAS!$H$6:$H$500,"PAGO"))</f>
        <v/>
      </c>
      <c r="F22" s="9">
        <f>IF(B22="","",C22-E22)</f>
        <v/>
      </c>
    </row>
    <row r="23">
      <c r="B23" s="8">
        <f>IF(AREAS!$A$3="","",AREAS!$A$3)</f>
        <v/>
      </c>
      <c r="C23" s="9">
        <f>IF(B23="","",SUMIF(SAIDAS!$B$6:$B$500,B23,SAIDAS!$G$6:$G$500))</f>
        <v/>
      </c>
      <c r="D23" s="17">
        <f>IF(OR(B23="",$C$18=0),"",C23/$C$18)</f>
        <v/>
      </c>
      <c r="E23" s="9">
        <f>IF(B23="","",SUMIFS(SAIDAS!$G$6:$G$500,SAIDAS!$B$6:$B$500,B23,SAIDAS!$H$6:$H$500,"PAGO"))</f>
        <v/>
      </c>
      <c r="F23" s="9">
        <f>IF(B23="","",C23-E23)</f>
        <v/>
      </c>
    </row>
    <row r="24">
      <c r="B24" s="8">
        <f>IF(AREAS!$A$4="","",AREAS!$A$4)</f>
        <v/>
      </c>
      <c r="C24" s="9">
        <f>IF(B24="","",SUMIF(SAIDAS!$B$6:$B$500,B24,SAIDAS!$G$6:$G$500))</f>
        <v/>
      </c>
      <c r="D24" s="17">
        <f>IF(OR(B24="",$C$18=0),"",C24/$C$18)</f>
        <v/>
      </c>
      <c r="E24" s="9">
        <f>IF(B24="","",SUMIFS(SAIDAS!$G$6:$G$500,SAIDAS!$B$6:$B$500,B24,SAIDAS!$H$6:$H$500,"PAGO"))</f>
        <v/>
      </c>
      <c r="F24" s="9">
        <f>IF(B24="","",C24-E24)</f>
        <v/>
      </c>
    </row>
    <row r="25">
      <c r="B25" s="8">
        <f>IF(AREAS!$A$5="","",AREAS!$A$5)</f>
        <v/>
      </c>
      <c r="C25" s="9">
        <f>IF(B25="","",SUMIF(SAIDAS!$B$6:$B$500,B25,SAIDAS!$G$6:$G$500))</f>
        <v/>
      </c>
      <c r="D25" s="17">
        <f>IF(OR(B25="",$C$18=0),"",C25/$C$18)</f>
        <v/>
      </c>
      <c r="E25" s="9">
        <f>IF(B25="","",SUMIFS(SAIDAS!$G$6:$G$500,SAIDAS!$B$6:$B$500,B25,SAIDAS!$H$6:$H$500,"PAGO"))</f>
        <v/>
      </c>
      <c r="F25" s="9">
        <f>IF(B25="","",C25-E25)</f>
        <v/>
      </c>
    </row>
    <row r="26">
      <c r="B26" s="8">
        <f>IF(AREAS!$A$6="","",AREAS!$A$6)</f>
        <v/>
      </c>
      <c r="C26" s="9">
        <f>IF(B26="","",SUMIF(SAIDAS!$B$6:$B$500,B26,SAIDAS!$G$6:$G$500))</f>
        <v/>
      </c>
      <c r="D26" s="17">
        <f>IF(OR(B26="",$C$18=0),"",C26/$C$18)</f>
        <v/>
      </c>
      <c r="E26" s="9">
        <f>IF(B26="","",SUMIFS(SAIDAS!$G$6:$G$500,SAIDAS!$B$6:$B$500,B26,SAIDAS!$H$6:$H$500,"PAGO"))</f>
        <v/>
      </c>
      <c r="F26" s="9">
        <f>IF(B26="","",C26-E26)</f>
        <v/>
      </c>
    </row>
    <row r="27">
      <c r="B27" s="8">
        <f>IF(AREAS!$A$7="","",AREAS!$A$7)</f>
        <v/>
      </c>
      <c r="C27" s="9">
        <f>IF(B27="","",SUMIF(SAIDAS!$B$6:$B$500,B27,SAIDAS!$G$6:$G$500))</f>
        <v/>
      </c>
      <c r="D27" s="17">
        <f>IF(OR(B27="",$C$18=0),"",C27/$C$18)</f>
        <v/>
      </c>
      <c r="E27" s="9">
        <f>IF(B27="","",SUMIFS(SAIDAS!$G$6:$G$500,SAIDAS!$B$6:$B$500,B27,SAIDAS!$H$6:$H$500,"PAGO"))</f>
        <v/>
      </c>
      <c r="F27" s="9">
        <f>IF(B27="","",C27-E27)</f>
        <v/>
      </c>
    </row>
    <row r="28">
      <c r="B28" s="8">
        <f>IF(AREAS!$A$8="","",AREAS!$A$8)</f>
        <v/>
      </c>
      <c r="C28" s="9">
        <f>IF(B28="","",SUMIF(SAIDAS!$B$6:$B$500,B28,SAIDAS!$G$6:$G$500))</f>
        <v/>
      </c>
      <c r="D28" s="17">
        <f>IF(OR(B28="",$C$18=0),"",C28/$C$18)</f>
        <v/>
      </c>
      <c r="E28" s="9">
        <f>IF(B28="","",SUMIFS(SAIDAS!$G$6:$G$500,SAIDAS!$B$6:$B$500,B28,SAIDAS!$H$6:$H$500,"PAGO"))</f>
        <v/>
      </c>
      <c r="F28" s="9">
        <f>IF(B28="","",C28-E28)</f>
        <v/>
      </c>
    </row>
    <row r="29">
      <c r="B29" s="8">
        <f>IF(AREAS!$A$9="","",AREAS!$A$9)</f>
        <v/>
      </c>
      <c r="C29" s="9">
        <f>IF(B29="","",SUMIF(SAIDAS!$B$6:$B$500,B29,SAIDAS!$G$6:$G$500))</f>
        <v/>
      </c>
      <c r="D29" s="17">
        <f>IF(OR(B29="",$C$18=0),"",C29/$C$18)</f>
        <v/>
      </c>
      <c r="E29" s="9">
        <f>IF(B29="","",SUMIFS(SAIDAS!$G$6:$G$500,SAIDAS!$B$6:$B$500,B29,SAIDAS!$H$6:$H$500,"PAGO"))</f>
        <v/>
      </c>
      <c r="F29" s="9">
        <f>IF(B29="","",C29-E29)</f>
        <v/>
      </c>
    </row>
    <row r="30">
      <c r="B30" s="8">
        <f>IF(AREAS!$A$10="","",AREAS!$A$10)</f>
        <v/>
      </c>
      <c r="C30" s="9">
        <f>IF(B30="","",SUMIF(SAIDAS!$B$6:$B$500,B30,SAIDAS!$G$6:$G$500))</f>
        <v/>
      </c>
      <c r="D30" s="17">
        <f>IF(OR(B30="",$C$18=0),"",C30/$C$18)</f>
        <v/>
      </c>
      <c r="E30" s="9">
        <f>IF(B30="","",SUMIFS(SAIDAS!$G$6:$G$500,SAIDAS!$B$6:$B$500,B30,SAIDAS!$H$6:$H$500,"PAGO"))</f>
        <v/>
      </c>
      <c r="F30" s="9">
        <f>IF(B30="","",C30-E30)</f>
        <v/>
      </c>
    </row>
    <row r="31">
      <c r="B31" s="8">
        <f>IF(AREAS!$A$11="","",AREAS!$A$11)</f>
        <v/>
      </c>
      <c r="C31" s="9">
        <f>IF(B31="","",SUMIF(SAIDAS!$B$6:$B$500,B31,SAIDAS!$G$6:$G$500))</f>
        <v/>
      </c>
      <c r="D31" s="17">
        <f>IF(OR(B31="",$C$18=0),"",C31/$C$18)</f>
        <v/>
      </c>
      <c r="E31" s="9">
        <f>IF(B31="","",SUMIFS(SAIDAS!$G$6:$G$500,SAIDAS!$B$6:$B$500,B31,SAIDAS!$H$6:$H$500,"PAGO"))</f>
        <v/>
      </c>
      <c r="F31" s="9">
        <f>IF(B31="","",C31-E31)</f>
        <v/>
      </c>
    </row>
    <row r="32">
      <c r="B32" s="8">
        <f>IF(AREAS!$A$12="","",AREAS!$A$12)</f>
        <v/>
      </c>
      <c r="C32" s="9">
        <f>IF(B32="","",SUMIF(SAIDAS!$B$6:$B$500,B32,SAIDAS!$G$6:$G$500))</f>
        <v/>
      </c>
      <c r="D32" s="17">
        <f>IF(OR(B32="",$C$18=0),"",C32/$C$18)</f>
        <v/>
      </c>
      <c r="E32" s="9">
        <f>IF(B32="","",SUMIFS(SAIDAS!$G$6:$G$500,SAIDAS!$B$6:$B$500,B32,SAIDAS!$H$6:$H$500,"PAGO"))</f>
        <v/>
      </c>
      <c r="F32" s="9">
        <f>IF(B32="","",C32-E32)</f>
        <v/>
      </c>
    </row>
    <row r="33">
      <c r="B33" s="8">
        <f>IF(AREAS!$A$13="","",AREAS!$A$13)</f>
        <v/>
      </c>
      <c r="C33" s="9">
        <f>IF(B33="","",SUMIF(SAIDAS!$B$6:$B$500,B33,SAIDAS!$G$6:$G$500))</f>
        <v/>
      </c>
      <c r="D33" s="17">
        <f>IF(OR(B33="",$C$18=0),"",C33/$C$18)</f>
        <v/>
      </c>
      <c r="E33" s="9">
        <f>IF(B33="","",SUMIFS(SAIDAS!$G$6:$G$500,SAIDAS!$B$6:$B$500,B33,SAIDAS!$H$6:$H$500,"PAGO"))</f>
        <v/>
      </c>
      <c r="F33" s="9">
        <f>IF(B33="","",C33-E33)</f>
        <v/>
      </c>
    </row>
    <row r="34">
      <c r="B34" s="8">
        <f>IF(AREAS!$A$14="","",AREAS!$A$14)</f>
        <v/>
      </c>
      <c r="C34" s="9">
        <f>IF(B34="","",SUMIF(SAIDAS!$B$6:$B$500,B34,SAIDAS!$G$6:$G$500))</f>
        <v/>
      </c>
      <c r="D34" s="17">
        <f>IF(OR(B34="",$C$18=0),"",C34/$C$18)</f>
        <v/>
      </c>
      <c r="E34" s="9">
        <f>IF(B34="","",SUMIFS(SAIDAS!$G$6:$G$500,SAIDAS!$B$6:$B$500,B34,SAIDAS!$H$6:$H$500,"PAGO"))</f>
        <v/>
      </c>
      <c r="F34" s="9">
        <f>IF(B34="","",C34-E34)</f>
        <v/>
      </c>
    </row>
    <row r="35">
      <c r="B35" s="18" t="inlineStr">
        <is>
          <t>SEM ÁREA — classificar na aba SAÍDAS</t>
        </is>
      </c>
      <c r="C35" s="9">
        <f>ROUND(SUM(SAIDAS!$G$6:$G$500)-SUM(C22:C34),2)</f>
        <v/>
      </c>
      <c r="D35" s="17" t="n"/>
      <c r="E35" s="9" t="n"/>
      <c r="F35" s="9" t="n"/>
    </row>
    <row r="36">
      <c r="B36" s="19" t="inlineStr">
        <is>
          <t>TOTAL SAÍDAS</t>
        </is>
      </c>
      <c r="C36" s="20">
        <f>ROUND(SUM(SAIDAS!$G$6:$G$500),2)</f>
        <v/>
      </c>
      <c r="D36" s="21">
        <f>IF($C$18=0,"",C36/$C$18)</f>
        <v/>
      </c>
      <c r="E36" s="20">
        <f>SUMIF(SAIDAS!$H$6:$H$500,"PAGO",SAIDAS!$G$6:$G$500)</f>
        <v/>
      </c>
      <c r="F36" s="20">
        <f>C36-E36</f>
        <v/>
      </c>
    </row>
    <row r="38" ht="22" customHeight="1">
      <c r="B38" s="6" t="inlineStr">
        <is>
          <t>3.  RESULTADO</t>
        </is>
      </c>
    </row>
    <row r="39">
      <c r="B39" s="8" t="inlineStr">
        <is>
          <t>ENTRADA LÍQUIDA</t>
        </is>
      </c>
      <c r="C39" s="9">
        <f>C18</f>
        <v/>
      </c>
    </row>
    <row r="40">
      <c r="B40" s="8" t="inlineStr">
        <is>
          <t>(−) TOTAL SAÍDAS</t>
        </is>
      </c>
      <c r="C40" s="9">
        <f>C36</f>
        <v/>
      </c>
    </row>
    <row r="41" ht="24" customHeight="1">
      <c r="B41" s="22" t="inlineStr">
        <is>
          <t>(=) LUCRO DA YAD</t>
        </is>
      </c>
      <c r="C41" s="23">
        <f>C18-C36</f>
        <v/>
      </c>
    </row>
    <row r="42">
      <c r="B42" s="8" t="inlineStr">
        <is>
          <t>MARGEM (sobre a entrada bruta)</t>
        </is>
      </c>
      <c r="C42" s="24">
        <f>IF(C15=0,"",C41/C15)</f>
        <v/>
      </c>
    </row>
    <row r="44" ht="22" customHeight="1">
      <c r="B44" s="6" t="inlineStr">
        <is>
          <t>4.  CAIXA — o que já andou e o que falta</t>
        </is>
      </c>
    </row>
    <row r="45" ht="28" customHeight="1">
      <c r="B45" s="7" t="inlineStr"/>
      <c r="C45" s="7" t="inlineStr">
        <is>
          <t>JÁ ANDOU</t>
        </is>
      </c>
      <c r="D45" s="7" t="inlineStr">
        <is>
          <t>FALTA</t>
        </is>
      </c>
    </row>
    <row r="46">
      <c r="B46" s="8" t="inlineStr">
        <is>
          <t>ENTRADAS (recebido / a receber)</t>
        </is>
      </c>
      <c r="C46" s="9">
        <f>SUMIF(E10:E14,"RECEBIDO",C10:C14)</f>
        <v/>
      </c>
      <c r="D46" s="9">
        <f>C15-C46</f>
        <v/>
      </c>
    </row>
    <row r="47">
      <c r="B47" s="8" t="inlineStr">
        <is>
          <t>SAÍDAS (pago / a pagar)</t>
        </is>
      </c>
      <c r="C47" s="9">
        <f>E36</f>
        <v/>
      </c>
      <c r="D47" s="9">
        <f>F36</f>
        <v/>
      </c>
    </row>
  </sheetData>
  <mergeCells count="4">
    <mergeCell ref="B44:F44"/>
    <mergeCell ref="B20:F20"/>
    <mergeCell ref="B38:F38"/>
    <mergeCell ref="B8:F8"/>
  </mergeCells>
  <conditionalFormatting sqref="C35">
    <cfRule type="cellIs" priority="1" operator="greaterThan" dxfId="0">
      <formula>0.005</formula>
    </cfRule>
  </conditionalFormatting>
  <conditionalFormatting sqref="B41:C41">
    <cfRule type="cellIs" priority="2" operator="lessThan" dxfId="1">
      <formula>0</formula>
    </cfRule>
    <cfRule type="cellIs" priority="3" operator="greaterThanOrEqual" dxfId="2">
      <formula>0</formula>
    </cfRule>
  </conditionalFormatting>
  <dataValidations count="1">
    <dataValidation sqref="E10:E14" showDropDown="0" showInputMessage="0" showErrorMessage="0" allowBlank="1" type="list">
      <formula1>"A RECEBER,RECEBIDO"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3" max="3"/>
  </cols>
  <sheetData>
    <row r="1" ht="28" customHeight="1">
      <c r="A1" s="7" t="inlineStr">
        <is>
          <t>ÁREAS DE GASTO</t>
        </is>
      </c>
    </row>
    <row r="2">
      <c r="A2" s="8" t="inlineStr">
        <is>
          <t>EQUIPE</t>
        </is>
      </c>
      <c r="C2" s="25" t="inlineStr">
        <is>
          <t>Área nova? Escreva na primeira linha amarela.</t>
        </is>
      </c>
    </row>
    <row r="3">
      <c r="A3" s="8" t="inlineStr">
        <is>
          <t>TRANSPORTE E LOGÍSTICA</t>
        </is>
      </c>
      <c r="C3" s="26" t="inlineStr">
        <is>
          <t>Ela aparece sozinha na listinha da aba SAÍDAS e vira uma linha no RESUMO.</t>
        </is>
      </c>
    </row>
    <row r="4">
      <c r="A4" s="8" t="inlineStr">
        <is>
          <t>ALIMENTAÇÃO</t>
        </is>
      </c>
      <c r="C4" s="26" t="inlineStr">
        <is>
          <t>Não apague área que já tem gasto lançado — o RESUMO perde a linha.</t>
        </is>
      </c>
    </row>
    <row r="5">
      <c r="A5" s="8" t="inlineStr">
        <is>
          <t>HOSPEDAGEM</t>
        </is>
      </c>
    </row>
    <row r="6">
      <c r="A6" s="8" t="inlineStr">
        <is>
          <t>EQUIPAMENTO E MANUTENÇÃO</t>
        </is>
      </c>
    </row>
    <row r="7">
      <c r="A7" s="8" t="inlineStr">
        <is>
          <t>LOCAÇÃO DE TERCEIROS</t>
        </is>
      </c>
    </row>
    <row r="8">
      <c r="A8" s="8" t="inlineStr">
        <is>
          <t>PRODUÇÃO E DIVERSOS</t>
        </is>
      </c>
    </row>
    <row r="9">
      <c r="A9" s="8" t="inlineStr">
        <is>
          <t>COMISSÃO</t>
        </is>
      </c>
    </row>
    <row r="10">
      <c r="A10" s="27" t="n"/>
    </row>
    <row r="11">
      <c r="A11" s="27" t="n"/>
    </row>
    <row r="12">
      <c r="A12" s="27" t="n"/>
    </row>
    <row r="13">
      <c r="A13" s="27" t="n"/>
    </row>
    <row r="14">
      <c r="A14" s="2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50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34" customWidth="1" min="3" max="3"/>
    <col width="26" customWidth="1" min="4" max="4"/>
    <col width="9" customWidth="1" min="5" max="5"/>
    <col width="15" customWidth="1" min="6" max="6"/>
    <col width="15" customWidth="1" min="7" max="7"/>
    <col width="13" customWidth="1" min="8" max="8"/>
    <col width="14" customWidth="1" min="9" max="9"/>
    <col width="30" customWidth="1" min="10" max="10"/>
  </cols>
  <sheetData>
    <row r="2">
      <c r="B2" s="28" t="inlineStr">
        <is>
          <t>SAÍDAS — um gasto por linha</t>
        </is>
      </c>
    </row>
    <row r="3">
      <c r="B3" s="4" t="inlineStr">
        <is>
          <t>Como usar:  1) escreva o gasto numa linha vazia   2) escolha a ÁREA na listinha da célula   3) preencha QTD e VALOR UNITÁRIO — o TOTAL e o RESUMO se viram sozinhos.</t>
        </is>
      </c>
    </row>
    <row r="5" ht="28" customHeight="1">
      <c r="B5" s="7" t="inlineStr">
        <is>
          <t>ÁREA</t>
        </is>
      </c>
      <c r="C5" s="7" t="inlineStr">
        <is>
          <t>DESCRIÇÃO / QUEM</t>
        </is>
      </c>
      <c r="D5" s="7" t="inlineStr">
        <is>
          <t>FUNÇÃO / DETALHE</t>
        </is>
      </c>
      <c r="E5" s="7" t="inlineStr">
        <is>
          <t>QTD</t>
        </is>
      </c>
      <c r="F5" s="7" t="inlineStr">
        <is>
          <t>VALOR UNITÁRIO</t>
        </is>
      </c>
      <c r="G5" s="7" t="inlineStr">
        <is>
          <t>TOTAL</t>
        </is>
      </c>
      <c r="H5" s="7" t="inlineStr">
        <is>
          <t>STATUS</t>
        </is>
      </c>
      <c r="I5" s="7" t="inlineStr">
        <is>
          <t>DATA PGTO</t>
        </is>
      </c>
      <c r="J5" s="7" t="inlineStr">
        <is>
          <t>OBS</t>
        </is>
      </c>
    </row>
    <row r="6">
      <c r="B6" s="8" t="inlineStr">
        <is>
          <t>EQUIPE</t>
        </is>
      </c>
      <c r="C6" s="8" t="inlineStr">
        <is>
          <t>Viny</t>
        </is>
      </c>
      <c r="D6" s="8" t="inlineStr">
        <is>
          <t>Assistente técnico geral</t>
        </is>
      </c>
      <c r="E6" s="11" t="n">
        <v>10</v>
      </c>
      <c r="F6" s="9" t="n">
        <v>350</v>
      </c>
      <c r="G6" s="29">
        <f>IF(OR(E6="",F6=""),"",ROUND(E6*F6,2))</f>
        <v/>
      </c>
      <c r="H6" s="11" t="inlineStr">
        <is>
          <t>A PAGAR</t>
        </is>
      </c>
      <c r="I6" s="10" t="n"/>
      <c r="J6" s="8" t="inlineStr">
        <is>
          <t>diária de referência do orçamento — confirmar o combinado</t>
        </is>
      </c>
    </row>
    <row r="7">
      <c r="B7" s="8" t="inlineStr">
        <is>
          <t>EQUIPE</t>
        </is>
      </c>
      <c r="C7" s="8" t="inlineStr">
        <is>
          <t>Caio</t>
        </is>
      </c>
      <c r="D7" s="8" t="inlineStr">
        <is>
          <t>Assistente técnico geral</t>
        </is>
      </c>
      <c r="E7" s="11" t="n">
        <v>10</v>
      </c>
      <c r="F7" s="9" t="n">
        <v>350</v>
      </c>
      <c r="G7" s="29">
        <f>IF(OR(E7="",F7=""),"",ROUND(E7*F7,2))</f>
        <v/>
      </c>
      <c r="H7" s="11" t="inlineStr">
        <is>
          <t>A PAGAR</t>
        </is>
      </c>
      <c r="I7" s="10" t="n"/>
      <c r="J7" s="8" t="inlineStr">
        <is>
          <t>diária de referência do orçamento — confirmar o combinado</t>
        </is>
      </c>
    </row>
    <row r="8">
      <c r="B8" s="8" t="inlineStr">
        <is>
          <t>EQUIPE</t>
        </is>
      </c>
      <c r="C8" s="8" t="inlineStr">
        <is>
          <t>Cassio</t>
        </is>
      </c>
      <c r="D8" s="8" t="inlineStr">
        <is>
          <t>Técnico do sistema</t>
        </is>
      </c>
      <c r="E8" s="11" t="n">
        <v>10</v>
      </c>
      <c r="F8" s="9" t="n">
        <v>800</v>
      </c>
      <c r="G8" s="29">
        <f>IF(OR(E8="",F8=""),"",ROUND(E8*F8,2))</f>
        <v/>
      </c>
      <c r="H8" s="11" t="inlineStr">
        <is>
          <t>A PAGAR</t>
        </is>
      </c>
      <c r="I8" s="10" t="n"/>
      <c r="J8" s="8" t="inlineStr">
        <is>
          <t>diária de referência do orçamento — confirmar o combinado</t>
        </is>
      </c>
    </row>
    <row r="9">
      <c r="B9" s="8" t="inlineStr">
        <is>
          <t>EQUIPE</t>
        </is>
      </c>
      <c r="C9" s="8" t="inlineStr">
        <is>
          <t>Paulinho</t>
        </is>
      </c>
      <c r="D9" s="8" t="inlineStr">
        <is>
          <t>Cinegrafista</t>
        </is>
      </c>
      <c r="E9" s="11" t="n">
        <v>10</v>
      </c>
      <c r="F9" s="9" t="n">
        <v>500</v>
      </c>
      <c r="G9" s="29">
        <f>IF(OR(E9="",F9=""),"",ROUND(E9*F9,2))</f>
        <v/>
      </c>
      <c r="H9" s="11" t="inlineStr">
        <is>
          <t>A PAGAR</t>
        </is>
      </c>
      <c r="I9" s="10" t="n"/>
      <c r="J9" s="8" t="inlineStr">
        <is>
          <t>diária de referência do orçamento — confirmar o combinado</t>
        </is>
      </c>
    </row>
    <row r="10">
      <c r="B10" s="8" t="inlineStr">
        <is>
          <t>EQUIPE</t>
        </is>
      </c>
      <c r="C10" s="8" t="inlineStr">
        <is>
          <t>Guilherme</t>
        </is>
      </c>
      <c r="D10" s="8" t="inlineStr">
        <is>
          <t>Cinegrafista</t>
        </is>
      </c>
      <c r="E10" s="11" t="n">
        <v>10</v>
      </c>
      <c r="F10" s="9" t="n">
        <v>500</v>
      </c>
      <c r="G10" s="29">
        <f>IF(OR(E10="",F10=""),"",ROUND(E10*F10,2))</f>
        <v/>
      </c>
      <c r="H10" s="11" t="inlineStr">
        <is>
          <t>A PAGAR</t>
        </is>
      </c>
      <c r="I10" s="10" t="n"/>
      <c r="J10" s="8" t="inlineStr">
        <is>
          <t>diária de referência do orçamento — confirmar o combinado</t>
        </is>
      </c>
    </row>
    <row r="11">
      <c r="B11" s="8" t="inlineStr">
        <is>
          <t>EQUIPE</t>
        </is>
      </c>
      <c r="C11" s="8" t="inlineStr">
        <is>
          <t>Rodrigo</t>
        </is>
      </c>
      <c r="D11" s="8" t="inlineStr">
        <is>
          <t>Cinegrafista</t>
        </is>
      </c>
      <c r="E11" s="11" t="n">
        <v>10</v>
      </c>
      <c r="F11" s="9" t="n">
        <v>500</v>
      </c>
      <c r="G11" s="29">
        <f>IF(OR(E11="",F11=""),"",ROUND(E11*F11,2))</f>
        <v/>
      </c>
      <c r="H11" s="11" t="inlineStr">
        <is>
          <t>A PAGAR</t>
        </is>
      </c>
      <c r="I11" s="10" t="n"/>
      <c r="J11" s="8" t="inlineStr">
        <is>
          <t>diária de referência do orçamento — confirmar o combinado</t>
        </is>
      </c>
    </row>
    <row r="12">
      <c r="B12" s="8" t="inlineStr">
        <is>
          <t>EQUIPE</t>
        </is>
      </c>
      <c r="C12" s="8" t="inlineStr">
        <is>
          <t>Kadu</t>
        </is>
      </c>
      <c r="D12" s="8" t="inlineStr">
        <is>
          <t>Cinegrafista</t>
        </is>
      </c>
      <c r="E12" s="11" t="n">
        <v>10</v>
      </c>
      <c r="F12" s="9" t="n">
        <v>500</v>
      </c>
      <c r="G12" s="29">
        <f>IF(OR(E12="",F12=""),"",ROUND(E12*F12,2))</f>
        <v/>
      </c>
      <c r="H12" s="11" t="inlineStr">
        <is>
          <t>A PAGAR</t>
        </is>
      </c>
      <c r="I12" s="10" t="n"/>
      <c r="J12" s="8" t="inlineStr">
        <is>
          <t>diária de referência do orçamento — confirmar o combinado</t>
        </is>
      </c>
    </row>
    <row r="13">
      <c r="B13" s="8" t="inlineStr">
        <is>
          <t>EQUIPE</t>
        </is>
      </c>
      <c r="C13" s="8" t="inlineStr">
        <is>
          <t>Fhilippe</t>
        </is>
      </c>
      <c r="D13" s="8" t="inlineStr">
        <is>
          <t>Cinegrafista</t>
        </is>
      </c>
      <c r="E13" s="11" t="n">
        <v>10</v>
      </c>
      <c r="F13" s="9" t="n">
        <v>500</v>
      </c>
      <c r="G13" s="29">
        <f>IF(OR(E13="",F13=""),"",ROUND(E13*F13,2))</f>
        <v/>
      </c>
      <c r="H13" s="11" t="inlineStr">
        <is>
          <t>A PAGAR</t>
        </is>
      </c>
      <c r="I13" s="10" t="n"/>
      <c r="J13" s="8" t="inlineStr">
        <is>
          <t>diária de referência do orçamento — confirmar o combinado</t>
        </is>
      </c>
    </row>
    <row r="14">
      <c r="B14" s="8" t="inlineStr">
        <is>
          <t>EQUIPE</t>
        </is>
      </c>
      <c r="C14" s="8" t="inlineStr">
        <is>
          <t>Carlos</t>
        </is>
      </c>
      <c r="D14" s="8" t="inlineStr">
        <is>
          <t>Responsável do sistema</t>
        </is>
      </c>
      <c r="E14" s="11" t="n">
        <v>10</v>
      </c>
      <c r="F14" s="9" t="n">
        <v>0</v>
      </c>
      <c r="G14" s="29">
        <f>IF(OR(E14="",F14=""),"",ROUND(E14*F14,2))</f>
        <v/>
      </c>
      <c r="H14" s="11" t="inlineStr"/>
      <c r="I14" s="10" t="n"/>
      <c r="J14" s="8" t="inlineStr">
        <is>
          <t>sem valor — entra na equipe para constar na escala</t>
        </is>
      </c>
    </row>
    <row r="15">
      <c r="B15" s="8" t="inlineStr">
        <is>
          <t>TRANSPORTE E LOGÍSTICA</t>
        </is>
      </c>
      <c r="C15" s="8" t="inlineStr">
        <is>
          <t>Combustível — caminhão de equipamento</t>
        </is>
      </c>
      <c r="D15" s="8" t="inlineStr">
        <is>
          <t>SP ↔ Barretos, ida e volta</t>
        </is>
      </c>
      <c r="E15" s="11" t="n">
        <v>1</v>
      </c>
      <c r="F15" s="12" t="n"/>
      <c r="G15" s="29">
        <f>IF(OR(E15="",F15=""),"",ROUND(E15*F15,2))</f>
        <v/>
      </c>
      <c r="H15" s="11" t="inlineStr">
        <is>
          <t>A PAGAR</t>
        </is>
      </c>
      <c r="I15" s="10" t="n"/>
      <c r="J15" s="8" t="inlineStr"/>
    </row>
    <row r="16">
      <c r="B16" s="8" t="inlineStr">
        <is>
          <t>TRANSPORTE E LOGÍSTICA</t>
        </is>
      </c>
      <c r="C16" s="8" t="inlineStr">
        <is>
          <t>Combustível — carro de apoio</t>
        </is>
      </c>
      <c r="D16" s="8" t="inlineStr">
        <is>
          <t>equipe</t>
        </is>
      </c>
      <c r="E16" s="11" t="n">
        <v>1</v>
      </c>
      <c r="F16" s="12" t="n"/>
      <c r="G16" s="29">
        <f>IF(OR(E16="",F16=""),"",ROUND(E16*F16,2))</f>
        <v/>
      </c>
      <c r="H16" s="11" t="inlineStr">
        <is>
          <t>A PAGAR</t>
        </is>
      </c>
      <c r="I16" s="10" t="n"/>
      <c r="J16" s="8" t="inlineStr"/>
    </row>
    <row r="17">
      <c r="B17" s="8" t="inlineStr">
        <is>
          <t>TRANSPORTE E LOGÍSTICA</t>
        </is>
      </c>
      <c r="C17" s="8" t="inlineStr">
        <is>
          <t>Pedágio</t>
        </is>
      </c>
      <c r="D17" s="8" t="inlineStr">
        <is>
          <t>ida e volta</t>
        </is>
      </c>
      <c r="E17" s="11" t="n">
        <v>1</v>
      </c>
      <c r="F17" s="12" t="n"/>
      <c r="G17" s="29">
        <f>IF(OR(E17="",F17=""),"",ROUND(E17*F17,2))</f>
        <v/>
      </c>
      <c r="H17" s="11" t="inlineStr">
        <is>
          <t>A PAGAR</t>
        </is>
      </c>
      <c r="I17" s="10" t="n"/>
      <c r="J17" s="8" t="inlineStr"/>
    </row>
    <row r="18">
      <c r="B18" s="8" t="inlineStr">
        <is>
          <t>ALIMENTAÇÃO</t>
        </is>
      </c>
      <c r="C18" s="8" t="inlineStr">
        <is>
          <t>Alimentação na estrada — ida</t>
        </is>
      </c>
      <c r="D18" s="8" t="inlineStr">
        <is>
          <t>equipe</t>
        </is>
      </c>
      <c r="E18" s="11" t="n">
        <v>1</v>
      </c>
      <c r="F18" s="12" t="n"/>
      <c r="G18" s="29">
        <f>IF(OR(E18="",F18=""),"",ROUND(E18*F18,2))</f>
        <v/>
      </c>
      <c r="H18" s="11" t="inlineStr">
        <is>
          <t>A PAGAR</t>
        </is>
      </c>
      <c r="I18" s="10" t="n"/>
      <c r="J18" s="8" t="inlineStr"/>
    </row>
    <row r="19">
      <c r="B19" s="8" t="inlineStr">
        <is>
          <t>ALIMENTAÇÃO</t>
        </is>
      </c>
      <c r="C19" s="8" t="inlineStr">
        <is>
          <t>Alimentação na estrada — volta</t>
        </is>
      </c>
      <c r="D19" s="8" t="inlineStr">
        <is>
          <t>equipe</t>
        </is>
      </c>
      <c r="E19" s="11" t="n">
        <v>1</v>
      </c>
      <c r="F19" s="12" t="n"/>
      <c r="G19" s="29">
        <f>IF(OR(E19="",F19=""),"",ROUND(E19*F19,2))</f>
        <v/>
      </c>
      <c r="H19" s="11" t="inlineStr">
        <is>
          <t>A PAGAR</t>
        </is>
      </c>
      <c r="I19" s="10" t="n"/>
      <c r="J19" s="8" t="inlineStr"/>
    </row>
    <row r="20">
      <c r="B20" s="8" t="inlineStr">
        <is>
          <t>ALIMENTAÇÃO</t>
        </is>
      </c>
      <c r="C20" s="8" t="inlineStr">
        <is>
          <t>Alimentação da equipe durante o evento</t>
        </is>
      </c>
      <c r="D20" s="8" t="inlineStr">
        <is>
          <t>8 pessoas × diárias</t>
        </is>
      </c>
      <c r="E20" s="30" t="n"/>
      <c r="F20" s="12" t="n"/>
      <c r="G20" s="29">
        <f>IF(OR(E20="",F20=""),"",ROUND(E20*F20,2))</f>
        <v/>
      </c>
      <c r="H20" s="11" t="inlineStr">
        <is>
          <t>A PAGAR</t>
        </is>
      </c>
      <c r="I20" s="10" t="n"/>
      <c r="J20" s="8" t="inlineStr">
        <is>
          <t>checar o que o Clube do Cowboy cobre de catering</t>
        </is>
      </c>
    </row>
    <row r="21">
      <c r="B21" s="8" t="inlineStr">
        <is>
          <t>HOSPEDAGEM</t>
        </is>
      </c>
      <c r="C21" s="8" t="inlineStr">
        <is>
          <t>Hospedagem da equipe em Barretos</t>
        </is>
      </c>
      <c r="D21" s="8" t="inlineStr">
        <is>
          <t>diárias × quartos</t>
        </is>
      </c>
      <c r="E21" s="30" t="n"/>
      <c r="F21" s="12" t="n"/>
      <c r="G21" s="29">
        <f>IF(OR(E21="",F21=""),"",ROUND(E21*F21,2))</f>
        <v/>
      </c>
      <c r="H21" s="11" t="inlineStr">
        <is>
          <t>A PAGAR</t>
        </is>
      </c>
      <c r="I21" s="10" t="n"/>
      <c r="J21" s="8" t="inlineStr">
        <is>
          <t>confirmar se é por conta do cliente</t>
        </is>
      </c>
    </row>
    <row r="22">
      <c r="B22" s="8" t="inlineStr">
        <is>
          <t>EQUIPAMENTO E MANUTENÇÃO</t>
        </is>
      </c>
      <c r="C22" s="8" t="inlineStr">
        <is>
          <t>Conserto do caminhão</t>
        </is>
      </c>
      <c r="D22" s="8" t="inlineStr">
        <is>
          <t>caminhão que leva o equipamento</t>
        </is>
      </c>
      <c r="E22" s="11" t="n">
        <v>1</v>
      </c>
      <c r="F22" s="9" t="n">
        <v>1500</v>
      </c>
      <c r="G22" s="29">
        <f>IF(OR(E22="",F22=""),"",ROUND(E22*F22,2))</f>
        <v/>
      </c>
      <c r="H22" s="11" t="inlineStr">
        <is>
          <t>A PAGAR</t>
        </is>
      </c>
      <c r="I22" s="10" t="n"/>
      <c r="J22" s="8" t="inlineStr">
        <is>
          <t>valor aproximado informado pela produção</t>
        </is>
      </c>
    </row>
    <row r="23">
      <c r="B23" s="8" t="n"/>
      <c r="C23" s="8" t="n"/>
      <c r="D23" s="8" t="n"/>
      <c r="E23" s="30" t="n"/>
      <c r="F23" s="12" t="n"/>
      <c r="G23" s="29">
        <f>IF(OR(E23="",F23=""),"",ROUND(E23*F23,2))</f>
        <v/>
      </c>
      <c r="H23" s="11" t="n"/>
      <c r="I23" s="10" t="n"/>
      <c r="J23" s="8" t="n"/>
    </row>
    <row r="24">
      <c r="B24" s="8" t="n"/>
      <c r="C24" s="8" t="n"/>
      <c r="D24" s="8" t="n"/>
      <c r="E24" s="30" t="n"/>
      <c r="F24" s="12" t="n"/>
      <c r="G24" s="29">
        <f>IF(OR(E24="",F24=""),"",ROUND(E24*F24,2))</f>
        <v/>
      </c>
      <c r="H24" s="11" t="n"/>
      <c r="I24" s="10" t="n"/>
      <c r="J24" s="8" t="n"/>
    </row>
    <row r="25">
      <c r="B25" s="8" t="n"/>
      <c r="C25" s="8" t="n"/>
      <c r="D25" s="8" t="n"/>
      <c r="E25" s="30" t="n"/>
      <c r="F25" s="12" t="n"/>
      <c r="G25" s="29">
        <f>IF(OR(E25="",F25=""),"",ROUND(E25*F25,2))</f>
        <v/>
      </c>
      <c r="H25" s="11" t="n"/>
      <c r="I25" s="10" t="n"/>
      <c r="J25" s="8" t="n"/>
    </row>
    <row r="26">
      <c r="B26" s="8" t="n"/>
      <c r="C26" s="8" t="n"/>
      <c r="D26" s="8" t="n"/>
      <c r="E26" s="30" t="n"/>
      <c r="F26" s="12" t="n"/>
      <c r="G26" s="29">
        <f>IF(OR(E26="",F26=""),"",ROUND(E26*F26,2))</f>
        <v/>
      </c>
      <c r="H26" s="11" t="n"/>
      <c r="I26" s="10" t="n"/>
      <c r="J26" s="8" t="n"/>
    </row>
    <row r="27">
      <c r="B27" s="8" t="n"/>
      <c r="C27" s="8" t="n"/>
      <c r="D27" s="8" t="n"/>
      <c r="E27" s="30" t="n"/>
      <c r="F27" s="12" t="n"/>
      <c r="G27" s="29">
        <f>IF(OR(E27="",F27=""),"",ROUND(E27*F27,2))</f>
        <v/>
      </c>
      <c r="H27" s="11" t="n"/>
      <c r="I27" s="10" t="n"/>
      <c r="J27" s="8" t="n"/>
    </row>
    <row r="28">
      <c r="B28" s="8" t="n"/>
      <c r="C28" s="8" t="n"/>
      <c r="D28" s="8" t="n"/>
      <c r="E28" s="30" t="n"/>
      <c r="F28" s="12" t="n"/>
      <c r="G28" s="29">
        <f>IF(OR(E28="",F28=""),"",ROUND(E28*F28,2))</f>
        <v/>
      </c>
      <c r="H28" s="11" t="n"/>
      <c r="I28" s="10" t="n"/>
      <c r="J28" s="8" t="n"/>
    </row>
    <row r="29">
      <c r="B29" s="8" t="n"/>
      <c r="C29" s="8" t="n"/>
      <c r="D29" s="8" t="n"/>
      <c r="E29" s="30" t="n"/>
      <c r="F29" s="12" t="n"/>
      <c r="G29" s="29">
        <f>IF(OR(E29="",F29=""),"",ROUND(E29*F29,2))</f>
        <v/>
      </c>
      <c r="H29" s="11" t="n"/>
      <c r="I29" s="10" t="n"/>
      <c r="J29" s="8" t="n"/>
    </row>
    <row r="30">
      <c r="B30" s="8" t="n"/>
      <c r="C30" s="8" t="n"/>
      <c r="D30" s="8" t="n"/>
      <c r="E30" s="30" t="n"/>
      <c r="F30" s="12" t="n"/>
      <c r="G30" s="29">
        <f>IF(OR(E30="",F30=""),"",ROUND(E30*F30,2))</f>
        <v/>
      </c>
      <c r="H30" s="11" t="n"/>
      <c r="I30" s="10" t="n"/>
      <c r="J30" s="8" t="n"/>
    </row>
    <row r="31">
      <c r="B31" s="8" t="n"/>
      <c r="C31" s="8" t="n"/>
      <c r="D31" s="8" t="n"/>
      <c r="E31" s="30" t="n"/>
      <c r="F31" s="12" t="n"/>
      <c r="G31" s="29">
        <f>IF(OR(E31="",F31=""),"",ROUND(E31*F31,2))</f>
        <v/>
      </c>
      <c r="H31" s="11" t="n"/>
      <c r="I31" s="10" t="n"/>
      <c r="J31" s="8" t="n"/>
    </row>
    <row r="32">
      <c r="B32" s="8" t="n"/>
      <c r="C32" s="8" t="n"/>
      <c r="D32" s="8" t="n"/>
      <c r="E32" s="30" t="n"/>
      <c r="F32" s="12" t="n"/>
      <c r="G32" s="29">
        <f>IF(OR(E32="",F32=""),"",ROUND(E32*F32,2))</f>
        <v/>
      </c>
      <c r="H32" s="11" t="n"/>
      <c r="I32" s="10" t="n"/>
      <c r="J32" s="8" t="n"/>
    </row>
    <row r="33">
      <c r="B33" s="8" t="n"/>
      <c r="C33" s="8" t="n"/>
      <c r="D33" s="8" t="n"/>
      <c r="E33" s="30" t="n"/>
      <c r="F33" s="12" t="n"/>
      <c r="G33" s="29">
        <f>IF(OR(E33="",F33=""),"",ROUND(E33*F33,2))</f>
        <v/>
      </c>
      <c r="H33" s="11" t="n"/>
      <c r="I33" s="10" t="n"/>
      <c r="J33" s="8" t="n"/>
    </row>
    <row r="34">
      <c r="B34" s="8" t="n"/>
      <c r="C34" s="8" t="n"/>
      <c r="D34" s="8" t="n"/>
      <c r="E34" s="30" t="n"/>
      <c r="F34" s="12" t="n"/>
      <c r="G34" s="29">
        <f>IF(OR(E34="",F34=""),"",ROUND(E34*F34,2))</f>
        <v/>
      </c>
      <c r="H34" s="11" t="n"/>
      <c r="I34" s="10" t="n"/>
      <c r="J34" s="8" t="n"/>
    </row>
    <row r="35">
      <c r="B35" s="8" t="n"/>
      <c r="C35" s="8" t="n"/>
      <c r="D35" s="8" t="n"/>
      <c r="E35" s="30" t="n"/>
      <c r="F35" s="12" t="n"/>
      <c r="G35" s="29">
        <f>IF(OR(E35="",F35=""),"",ROUND(E35*F35,2))</f>
        <v/>
      </c>
      <c r="H35" s="11" t="n"/>
      <c r="I35" s="10" t="n"/>
      <c r="J35" s="8" t="n"/>
    </row>
    <row r="36">
      <c r="B36" s="8" t="n"/>
      <c r="C36" s="8" t="n"/>
      <c r="D36" s="8" t="n"/>
      <c r="E36" s="30" t="n"/>
      <c r="F36" s="12" t="n"/>
      <c r="G36" s="29">
        <f>IF(OR(E36="",F36=""),"",ROUND(E36*F36,2))</f>
        <v/>
      </c>
      <c r="H36" s="11" t="n"/>
      <c r="I36" s="10" t="n"/>
      <c r="J36" s="8" t="n"/>
    </row>
    <row r="37">
      <c r="B37" s="8" t="n"/>
      <c r="C37" s="8" t="n"/>
      <c r="D37" s="8" t="n"/>
      <c r="E37" s="30" t="n"/>
      <c r="F37" s="12" t="n"/>
      <c r="G37" s="29">
        <f>IF(OR(E37="",F37=""),"",ROUND(E37*F37,2))</f>
        <v/>
      </c>
      <c r="H37" s="11" t="n"/>
      <c r="I37" s="10" t="n"/>
      <c r="J37" s="8" t="n"/>
    </row>
    <row r="38">
      <c r="B38" s="8" t="n"/>
      <c r="C38" s="8" t="n"/>
      <c r="D38" s="8" t="n"/>
      <c r="E38" s="30" t="n"/>
      <c r="F38" s="12" t="n"/>
      <c r="G38" s="29">
        <f>IF(OR(E38="",F38=""),"",ROUND(E38*F38,2))</f>
        <v/>
      </c>
      <c r="H38" s="11" t="n"/>
      <c r="I38" s="10" t="n"/>
      <c r="J38" s="8" t="n"/>
    </row>
    <row r="39">
      <c r="B39" s="8" t="n"/>
      <c r="C39" s="8" t="n"/>
      <c r="D39" s="8" t="n"/>
      <c r="E39" s="30" t="n"/>
      <c r="F39" s="12" t="n"/>
      <c r="G39" s="29">
        <f>IF(OR(E39="",F39=""),"",ROUND(E39*F39,2))</f>
        <v/>
      </c>
      <c r="H39" s="11" t="n"/>
      <c r="I39" s="10" t="n"/>
      <c r="J39" s="8" t="n"/>
    </row>
    <row r="40">
      <c r="B40" s="8" t="n"/>
      <c r="C40" s="8" t="n"/>
      <c r="D40" s="8" t="n"/>
      <c r="E40" s="30" t="n"/>
      <c r="F40" s="12" t="n"/>
      <c r="G40" s="29">
        <f>IF(OR(E40="",F40=""),"",ROUND(E40*F40,2))</f>
        <v/>
      </c>
      <c r="H40" s="11" t="n"/>
      <c r="I40" s="10" t="n"/>
      <c r="J40" s="8" t="n"/>
    </row>
    <row r="41">
      <c r="B41" s="8" t="n"/>
      <c r="C41" s="8" t="n"/>
      <c r="D41" s="8" t="n"/>
      <c r="E41" s="30" t="n"/>
      <c r="F41" s="12" t="n"/>
      <c r="G41" s="29">
        <f>IF(OR(E41="",F41=""),"",ROUND(E41*F41,2))</f>
        <v/>
      </c>
      <c r="H41" s="11" t="n"/>
      <c r="I41" s="10" t="n"/>
      <c r="J41" s="8" t="n"/>
    </row>
    <row r="42">
      <c r="B42" s="8" t="n"/>
      <c r="C42" s="8" t="n"/>
      <c r="D42" s="8" t="n"/>
      <c r="E42" s="30" t="n"/>
      <c r="F42" s="12" t="n"/>
      <c r="G42" s="29">
        <f>IF(OR(E42="",F42=""),"",ROUND(E42*F42,2))</f>
        <v/>
      </c>
      <c r="H42" s="11" t="n"/>
      <c r="I42" s="10" t="n"/>
      <c r="J42" s="8" t="n"/>
    </row>
    <row r="43">
      <c r="B43" s="8" t="n"/>
      <c r="C43" s="8" t="n"/>
      <c r="D43" s="8" t="n"/>
      <c r="E43" s="30" t="n"/>
      <c r="F43" s="12" t="n"/>
      <c r="G43" s="29">
        <f>IF(OR(E43="",F43=""),"",ROUND(E43*F43,2))</f>
        <v/>
      </c>
      <c r="H43" s="11" t="n"/>
      <c r="I43" s="10" t="n"/>
      <c r="J43" s="8" t="n"/>
    </row>
    <row r="44">
      <c r="B44" s="8" t="n"/>
      <c r="C44" s="8" t="n"/>
      <c r="D44" s="8" t="n"/>
      <c r="E44" s="30" t="n"/>
      <c r="F44" s="12" t="n"/>
      <c r="G44" s="29">
        <f>IF(OR(E44="",F44=""),"",ROUND(E44*F44,2))</f>
        <v/>
      </c>
      <c r="H44" s="11" t="n"/>
      <c r="I44" s="10" t="n"/>
      <c r="J44" s="8" t="n"/>
    </row>
    <row r="45">
      <c r="B45" s="8" t="n"/>
      <c r="C45" s="8" t="n"/>
      <c r="D45" s="8" t="n"/>
      <c r="E45" s="30" t="n"/>
      <c r="F45" s="12" t="n"/>
      <c r="G45" s="29">
        <f>IF(OR(E45="",F45=""),"",ROUND(E45*F45,2))</f>
        <v/>
      </c>
      <c r="H45" s="11" t="n"/>
      <c r="I45" s="10" t="n"/>
      <c r="J45" s="8" t="n"/>
    </row>
    <row r="46">
      <c r="B46" s="8" t="n"/>
      <c r="C46" s="8" t="n"/>
      <c r="D46" s="8" t="n"/>
      <c r="E46" s="30" t="n"/>
      <c r="F46" s="12" t="n"/>
      <c r="G46" s="29">
        <f>IF(OR(E46="",F46=""),"",ROUND(E46*F46,2))</f>
        <v/>
      </c>
      <c r="H46" s="11" t="n"/>
      <c r="I46" s="10" t="n"/>
      <c r="J46" s="8" t="n"/>
    </row>
    <row r="47">
      <c r="B47" s="8" t="n"/>
      <c r="C47" s="8" t="n"/>
      <c r="D47" s="8" t="n"/>
      <c r="E47" s="30" t="n"/>
      <c r="F47" s="12" t="n"/>
      <c r="G47" s="29">
        <f>IF(OR(E47="",F47=""),"",ROUND(E47*F47,2))</f>
        <v/>
      </c>
      <c r="H47" s="11" t="n"/>
      <c r="I47" s="10" t="n"/>
      <c r="J47" s="8" t="n"/>
    </row>
    <row r="48">
      <c r="B48" s="8" t="n"/>
      <c r="C48" s="8" t="n"/>
      <c r="D48" s="8" t="n"/>
      <c r="E48" s="30" t="n"/>
      <c r="F48" s="12" t="n"/>
      <c r="G48" s="29">
        <f>IF(OR(E48="",F48=""),"",ROUND(E48*F48,2))</f>
        <v/>
      </c>
      <c r="H48" s="11" t="n"/>
      <c r="I48" s="10" t="n"/>
      <c r="J48" s="8" t="n"/>
    </row>
    <row r="49">
      <c r="B49" s="8" t="n"/>
      <c r="C49" s="8" t="n"/>
      <c r="D49" s="8" t="n"/>
      <c r="E49" s="30" t="n"/>
      <c r="F49" s="12" t="n"/>
      <c r="G49" s="29">
        <f>IF(OR(E49="",F49=""),"",ROUND(E49*F49,2))</f>
        <v/>
      </c>
      <c r="H49" s="11" t="n"/>
      <c r="I49" s="10" t="n"/>
      <c r="J49" s="8" t="n"/>
    </row>
    <row r="50">
      <c r="B50" s="8" t="n"/>
      <c r="C50" s="8" t="n"/>
      <c r="D50" s="8" t="n"/>
      <c r="E50" s="30" t="n"/>
      <c r="F50" s="12" t="n"/>
      <c r="G50" s="29">
        <f>IF(OR(E50="",F50=""),"",ROUND(E50*F50,2))</f>
        <v/>
      </c>
      <c r="H50" s="11" t="n"/>
      <c r="I50" s="10" t="n"/>
      <c r="J50" s="8" t="n"/>
    </row>
    <row r="51">
      <c r="B51" s="8" t="n"/>
      <c r="C51" s="8" t="n"/>
      <c r="D51" s="8" t="n"/>
      <c r="E51" s="30" t="n"/>
      <c r="F51" s="12" t="n"/>
      <c r="G51" s="29">
        <f>IF(OR(E51="",F51=""),"",ROUND(E51*F51,2))</f>
        <v/>
      </c>
      <c r="H51" s="11" t="n"/>
      <c r="I51" s="10" t="n"/>
      <c r="J51" s="8" t="n"/>
    </row>
    <row r="52">
      <c r="B52" s="8" t="n"/>
      <c r="C52" s="8" t="n"/>
      <c r="D52" s="8" t="n"/>
      <c r="E52" s="30" t="n"/>
      <c r="F52" s="12" t="n"/>
      <c r="G52" s="29">
        <f>IF(OR(E52="",F52=""),"",ROUND(E52*F52,2))</f>
        <v/>
      </c>
      <c r="H52" s="11" t="n"/>
      <c r="I52" s="10" t="n"/>
      <c r="J52" s="8" t="n"/>
    </row>
    <row r="53">
      <c r="B53" s="8" t="n"/>
      <c r="C53" s="8" t="n"/>
      <c r="D53" s="8" t="n"/>
      <c r="E53" s="30" t="n"/>
      <c r="F53" s="12" t="n"/>
      <c r="G53" s="29">
        <f>IF(OR(E53="",F53=""),"",ROUND(E53*F53,2))</f>
        <v/>
      </c>
      <c r="H53" s="11" t="n"/>
      <c r="I53" s="10" t="n"/>
      <c r="J53" s="8" t="n"/>
    </row>
    <row r="54">
      <c r="B54" s="8" t="n"/>
      <c r="C54" s="8" t="n"/>
      <c r="D54" s="8" t="n"/>
      <c r="E54" s="30" t="n"/>
      <c r="F54" s="12" t="n"/>
      <c r="G54" s="29">
        <f>IF(OR(E54="",F54=""),"",ROUND(E54*F54,2))</f>
        <v/>
      </c>
      <c r="H54" s="11" t="n"/>
      <c r="I54" s="10" t="n"/>
      <c r="J54" s="8" t="n"/>
    </row>
    <row r="55">
      <c r="B55" s="8" t="n"/>
      <c r="C55" s="8" t="n"/>
      <c r="D55" s="8" t="n"/>
      <c r="E55" s="30" t="n"/>
      <c r="F55" s="12" t="n"/>
      <c r="G55" s="29">
        <f>IF(OR(E55="",F55=""),"",ROUND(E55*F55,2))</f>
        <v/>
      </c>
      <c r="H55" s="11" t="n"/>
      <c r="I55" s="10" t="n"/>
      <c r="J55" s="8" t="n"/>
    </row>
    <row r="56">
      <c r="B56" s="8" t="n"/>
      <c r="C56" s="8" t="n"/>
      <c r="D56" s="8" t="n"/>
      <c r="E56" s="30" t="n"/>
      <c r="F56" s="12" t="n"/>
      <c r="G56" s="29">
        <f>IF(OR(E56="",F56=""),"",ROUND(E56*F56,2))</f>
        <v/>
      </c>
      <c r="H56" s="11" t="n"/>
      <c r="I56" s="10" t="n"/>
      <c r="J56" s="8" t="n"/>
    </row>
    <row r="57">
      <c r="B57" s="8" t="n"/>
      <c r="C57" s="8" t="n"/>
      <c r="D57" s="8" t="n"/>
      <c r="E57" s="30" t="n"/>
      <c r="F57" s="12" t="n"/>
      <c r="G57" s="29">
        <f>IF(OR(E57="",F57=""),"",ROUND(E57*F57,2))</f>
        <v/>
      </c>
      <c r="H57" s="11" t="n"/>
      <c r="I57" s="10" t="n"/>
      <c r="J57" s="8" t="n"/>
    </row>
    <row r="58">
      <c r="B58" s="8" t="n"/>
      <c r="C58" s="8" t="n"/>
      <c r="D58" s="8" t="n"/>
      <c r="E58" s="30" t="n"/>
      <c r="F58" s="12" t="n"/>
      <c r="G58" s="29">
        <f>IF(OR(E58="",F58=""),"",ROUND(E58*F58,2))</f>
        <v/>
      </c>
      <c r="H58" s="11" t="n"/>
      <c r="I58" s="10" t="n"/>
      <c r="J58" s="8" t="n"/>
    </row>
    <row r="59">
      <c r="B59" s="8" t="n"/>
      <c r="C59" s="8" t="n"/>
      <c r="D59" s="8" t="n"/>
      <c r="E59" s="30" t="n"/>
      <c r="F59" s="12" t="n"/>
      <c r="G59" s="29">
        <f>IF(OR(E59="",F59=""),"",ROUND(E59*F59,2))</f>
        <v/>
      </c>
      <c r="H59" s="11" t="n"/>
      <c r="I59" s="10" t="n"/>
      <c r="J59" s="8" t="n"/>
    </row>
    <row r="60">
      <c r="B60" s="8" t="n"/>
      <c r="C60" s="8" t="n"/>
      <c r="D60" s="8" t="n"/>
      <c r="E60" s="30" t="n"/>
      <c r="F60" s="12" t="n"/>
      <c r="G60" s="29">
        <f>IF(OR(E60="",F60=""),"",ROUND(E60*F60,2))</f>
        <v/>
      </c>
      <c r="H60" s="11" t="n"/>
      <c r="I60" s="10" t="n"/>
      <c r="J60" s="8" t="n"/>
    </row>
    <row r="61">
      <c r="B61" s="8" t="n"/>
      <c r="C61" s="8" t="n"/>
      <c r="D61" s="8" t="n"/>
      <c r="E61" s="30" t="n"/>
      <c r="F61" s="12" t="n"/>
      <c r="G61" s="29">
        <f>IF(OR(E61="",F61=""),"",ROUND(E61*F61,2))</f>
        <v/>
      </c>
      <c r="H61" s="11" t="n"/>
      <c r="I61" s="10" t="n"/>
      <c r="J61" s="8" t="n"/>
    </row>
    <row r="62">
      <c r="B62" s="8" t="n"/>
      <c r="C62" s="8" t="n"/>
      <c r="D62" s="8" t="n"/>
      <c r="E62" s="30" t="n"/>
      <c r="F62" s="12" t="n"/>
      <c r="G62" s="29">
        <f>IF(OR(E62="",F62=""),"",ROUND(E62*F62,2))</f>
        <v/>
      </c>
      <c r="H62" s="11" t="n"/>
      <c r="I62" s="10" t="n"/>
      <c r="J62" s="8" t="n"/>
    </row>
    <row r="63">
      <c r="B63" s="8" t="n"/>
      <c r="C63" s="8" t="n"/>
      <c r="D63" s="8" t="n"/>
      <c r="E63" s="30" t="n"/>
      <c r="F63" s="12" t="n"/>
      <c r="G63" s="29">
        <f>IF(OR(E63="",F63=""),"",ROUND(E63*F63,2))</f>
        <v/>
      </c>
      <c r="H63" s="11" t="n"/>
      <c r="I63" s="10" t="n"/>
      <c r="J63" s="8" t="n"/>
    </row>
    <row r="64">
      <c r="B64" s="8" t="n"/>
      <c r="C64" s="8" t="n"/>
      <c r="D64" s="8" t="n"/>
      <c r="E64" s="30" t="n"/>
      <c r="F64" s="12" t="n"/>
      <c r="G64" s="29">
        <f>IF(OR(E64="",F64=""),"",ROUND(E64*F64,2))</f>
        <v/>
      </c>
      <c r="H64" s="11" t="n"/>
      <c r="I64" s="10" t="n"/>
      <c r="J64" s="8" t="n"/>
    </row>
    <row r="65">
      <c r="B65" s="8" t="n"/>
      <c r="C65" s="8" t="n"/>
      <c r="D65" s="8" t="n"/>
      <c r="E65" s="30" t="n"/>
      <c r="F65" s="12" t="n"/>
      <c r="G65" s="29">
        <f>IF(OR(E65="",F65=""),"",ROUND(E65*F65,2))</f>
        <v/>
      </c>
      <c r="H65" s="11" t="n"/>
      <c r="I65" s="10" t="n"/>
      <c r="J65" s="8" t="n"/>
    </row>
    <row r="66">
      <c r="B66" s="8" t="n"/>
      <c r="C66" s="8" t="n"/>
      <c r="D66" s="8" t="n"/>
      <c r="E66" s="30" t="n"/>
      <c r="F66" s="12" t="n"/>
      <c r="G66" s="29">
        <f>IF(OR(E66="",F66=""),"",ROUND(E66*F66,2))</f>
        <v/>
      </c>
      <c r="H66" s="11" t="n"/>
      <c r="I66" s="10" t="n"/>
      <c r="J66" s="8" t="n"/>
    </row>
    <row r="67">
      <c r="B67" s="8" t="n"/>
      <c r="C67" s="8" t="n"/>
      <c r="D67" s="8" t="n"/>
      <c r="E67" s="30" t="n"/>
      <c r="F67" s="12" t="n"/>
      <c r="G67" s="29">
        <f>IF(OR(E67="",F67=""),"",ROUND(E67*F67,2))</f>
        <v/>
      </c>
      <c r="H67" s="11" t="n"/>
      <c r="I67" s="10" t="n"/>
      <c r="J67" s="8" t="n"/>
    </row>
    <row r="68">
      <c r="B68" s="8" t="n"/>
      <c r="C68" s="8" t="n"/>
      <c r="D68" s="8" t="n"/>
      <c r="E68" s="30" t="n"/>
      <c r="F68" s="12" t="n"/>
      <c r="G68" s="29">
        <f>IF(OR(E68="",F68=""),"",ROUND(E68*F68,2))</f>
        <v/>
      </c>
      <c r="H68" s="11" t="n"/>
      <c r="I68" s="10" t="n"/>
      <c r="J68" s="8" t="n"/>
    </row>
    <row r="69">
      <c r="B69" s="8" t="n"/>
      <c r="C69" s="8" t="n"/>
      <c r="D69" s="8" t="n"/>
      <c r="E69" s="30" t="n"/>
      <c r="F69" s="12" t="n"/>
      <c r="G69" s="29">
        <f>IF(OR(E69="",F69=""),"",ROUND(E69*F69,2))</f>
        <v/>
      </c>
      <c r="H69" s="11" t="n"/>
      <c r="I69" s="10" t="n"/>
      <c r="J69" s="8" t="n"/>
    </row>
    <row r="70">
      <c r="B70" s="8" t="n"/>
      <c r="C70" s="8" t="n"/>
      <c r="D70" s="8" t="n"/>
      <c r="E70" s="30" t="n"/>
      <c r="F70" s="12" t="n"/>
      <c r="G70" s="29">
        <f>IF(OR(E70="",F70=""),"",ROUND(E70*F70,2))</f>
        <v/>
      </c>
      <c r="H70" s="11" t="n"/>
      <c r="I70" s="10" t="n"/>
      <c r="J70" s="8" t="n"/>
    </row>
    <row r="71">
      <c r="B71" s="8" t="n"/>
      <c r="C71" s="8" t="n"/>
      <c r="D71" s="8" t="n"/>
      <c r="E71" s="30" t="n"/>
      <c r="F71" s="12" t="n"/>
      <c r="G71" s="29">
        <f>IF(OR(E71="",F71=""),"",ROUND(E71*F71,2))</f>
        <v/>
      </c>
      <c r="H71" s="11" t="n"/>
      <c r="I71" s="10" t="n"/>
      <c r="J71" s="8" t="n"/>
    </row>
    <row r="72">
      <c r="B72" s="8" t="n"/>
      <c r="C72" s="8" t="n"/>
      <c r="D72" s="8" t="n"/>
      <c r="E72" s="30" t="n"/>
      <c r="F72" s="12" t="n"/>
      <c r="G72" s="29">
        <f>IF(OR(E72="",F72=""),"",ROUND(E72*F72,2))</f>
        <v/>
      </c>
      <c r="H72" s="11" t="n"/>
      <c r="I72" s="10" t="n"/>
      <c r="J72" s="8" t="n"/>
    </row>
    <row r="73">
      <c r="B73" s="8" t="n"/>
      <c r="C73" s="8" t="n"/>
      <c r="D73" s="8" t="n"/>
      <c r="E73" s="30" t="n"/>
      <c r="F73" s="12" t="n"/>
      <c r="G73" s="29">
        <f>IF(OR(E73="",F73=""),"",ROUND(E73*F73,2))</f>
        <v/>
      </c>
      <c r="H73" s="11" t="n"/>
      <c r="I73" s="10" t="n"/>
      <c r="J73" s="8" t="n"/>
    </row>
    <row r="74">
      <c r="B74" s="8" t="n"/>
      <c r="C74" s="8" t="n"/>
      <c r="D74" s="8" t="n"/>
      <c r="E74" s="30" t="n"/>
      <c r="F74" s="12" t="n"/>
      <c r="G74" s="29">
        <f>IF(OR(E74="",F74=""),"",ROUND(E74*F74,2))</f>
        <v/>
      </c>
      <c r="H74" s="11" t="n"/>
      <c r="I74" s="10" t="n"/>
      <c r="J74" s="8" t="n"/>
    </row>
    <row r="75">
      <c r="B75" s="8" t="n"/>
      <c r="C75" s="8" t="n"/>
      <c r="D75" s="8" t="n"/>
      <c r="E75" s="30" t="n"/>
      <c r="F75" s="12" t="n"/>
      <c r="G75" s="29">
        <f>IF(OR(E75="",F75=""),"",ROUND(E75*F75,2))</f>
        <v/>
      </c>
      <c r="H75" s="11" t="n"/>
      <c r="I75" s="10" t="n"/>
      <c r="J75" s="8" t="n"/>
    </row>
    <row r="76">
      <c r="B76" s="8" t="n"/>
      <c r="C76" s="8" t="n"/>
      <c r="D76" s="8" t="n"/>
      <c r="E76" s="30" t="n"/>
      <c r="F76" s="12" t="n"/>
      <c r="G76" s="29">
        <f>IF(OR(E76="",F76=""),"",ROUND(E76*F76,2))</f>
        <v/>
      </c>
      <c r="H76" s="11" t="n"/>
      <c r="I76" s="10" t="n"/>
      <c r="J76" s="8" t="n"/>
    </row>
    <row r="77">
      <c r="B77" s="8" t="n"/>
      <c r="C77" s="8" t="n"/>
      <c r="D77" s="8" t="n"/>
      <c r="E77" s="30" t="n"/>
      <c r="F77" s="12" t="n"/>
      <c r="G77" s="29">
        <f>IF(OR(E77="",F77=""),"",ROUND(E77*F77,2))</f>
        <v/>
      </c>
      <c r="H77" s="11" t="n"/>
      <c r="I77" s="10" t="n"/>
      <c r="J77" s="8" t="n"/>
    </row>
    <row r="78">
      <c r="B78" s="8" t="n"/>
      <c r="C78" s="8" t="n"/>
      <c r="D78" s="8" t="n"/>
      <c r="E78" s="30" t="n"/>
      <c r="F78" s="12" t="n"/>
      <c r="G78" s="29">
        <f>IF(OR(E78="",F78=""),"",ROUND(E78*F78,2))</f>
        <v/>
      </c>
      <c r="H78" s="11" t="n"/>
      <c r="I78" s="10" t="n"/>
      <c r="J78" s="8" t="n"/>
    </row>
    <row r="79">
      <c r="B79" s="8" t="n"/>
      <c r="C79" s="8" t="n"/>
      <c r="D79" s="8" t="n"/>
      <c r="E79" s="30" t="n"/>
      <c r="F79" s="12" t="n"/>
      <c r="G79" s="29">
        <f>IF(OR(E79="",F79=""),"",ROUND(E79*F79,2))</f>
        <v/>
      </c>
      <c r="H79" s="11" t="n"/>
      <c r="I79" s="10" t="n"/>
      <c r="J79" s="8" t="n"/>
    </row>
    <row r="80">
      <c r="B80" s="8" t="n"/>
      <c r="C80" s="8" t="n"/>
      <c r="D80" s="8" t="n"/>
      <c r="E80" s="30" t="n"/>
      <c r="F80" s="12" t="n"/>
      <c r="G80" s="29">
        <f>IF(OR(E80="",F80=""),"",ROUND(E80*F80,2))</f>
        <v/>
      </c>
      <c r="H80" s="11" t="n"/>
      <c r="I80" s="10" t="n"/>
      <c r="J80" s="8" t="n"/>
    </row>
    <row r="81">
      <c r="B81" s="8" t="n"/>
      <c r="C81" s="8" t="n"/>
      <c r="D81" s="8" t="n"/>
      <c r="E81" s="30" t="n"/>
      <c r="F81" s="12" t="n"/>
      <c r="G81" s="29">
        <f>IF(OR(E81="",F81=""),"",ROUND(E81*F81,2))</f>
        <v/>
      </c>
      <c r="H81" s="11" t="n"/>
      <c r="I81" s="10" t="n"/>
      <c r="J81" s="8" t="n"/>
    </row>
    <row r="82">
      <c r="B82" s="8" t="n"/>
      <c r="C82" s="8" t="n"/>
      <c r="D82" s="8" t="n"/>
      <c r="E82" s="30" t="n"/>
      <c r="F82" s="12" t="n"/>
      <c r="G82" s="29">
        <f>IF(OR(E82="",F82=""),"",ROUND(E82*F82,2))</f>
        <v/>
      </c>
      <c r="H82" s="11" t="n"/>
      <c r="I82" s="10" t="n"/>
      <c r="J82" s="8" t="n"/>
    </row>
    <row r="83">
      <c r="B83" s="8" t="n"/>
      <c r="C83" s="8" t="n"/>
      <c r="D83" s="8" t="n"/>
      <c r="E83" s="30" t="n"/>
      <c r="F83" s="12" t="n"/>
      <c r="G83" s="29">
        <f>IF(OR(E83="",F83=""),"",ROUND(E83*F83,2))</f>
        <v/>
      </c>
      <c r="H83" s="11" t="n"/>
      <c r="I83" s="10" t="n"/>
      <c r="J83" s="8" t="n"/>
    </row>
    <row r="84">
      <c r="B84" s="8" t="n"/>
      <c r="C84" s="8" t="n"/>
      <c r="D84" s="8" t="n"/>
      <c r="E84" s="30" t="n"/>
      <c r="F84" s="12" t="n"/>
      <c r="G84" s="29">
        <f>IF(OR(E84="",F84=""),"",ROUND(E84*F84,2))</f>
        <v/>
      </c>
      <c r="H84" s="11" t="n"/>
      <c r="I84" s="10" t="n"/>
      <c r="J84" s="8" t="n"/>
    </row>
    <row r="85">
      <c r="B85" s="8" t="n"/>
      <c r="C85" s="8" t="n"/>
      <c r="D85" s="8" t="n"/>
      <c r="E85" s="30" t="n"/>
      <c r="F85" s="12" t="n"/>
      <c r="G85" s="29">
        <f>IF(OR(E85="",F85=""),"",ROUND(E85*F85,2))</f>
        <v/>
      </c>
      <c r="H85" s="11" t="n"/>
      <c r="I85" s="10" t="n"/>
      <c r="J85" s="8" t="n"/>
    </row>
    <row r="86">
      <c r="B86" s="8" t="n"/>
      <c r="C86" s="8" t="n"/>
      <c r="D86" s="8" t="n"/>
      <c r="E86" s="30" t="n"/>
      <c r="F86" s="12" t="n"/>
      <c r="G86" s="29">
        <f>IF(OR(E86="",F86=""),"",ROUND(E86*F86,2))</f>
        <v/>
      </c>
      <c r="H86" s="11" t="n"/>
      <c r="I86" s="10" t="n"/>
      <c r="J86" s="8" t="n"/>
    </row>
    <row r="87">
      <c r="B87" s="8" t="n"/>
      <c r="C87" s="8" t="n"/>
      <c r="D87" s="8" t="n"/>
      <c r="E87" s="30" t="n"/>
      <c r="F87" s="12" t="n"/>
      <c r="G87" s="29">
        <f>IF(OR(E87="",F87=""),"",ROUND(E87*F87,2))</f>
        <v/>
      </c>
      <c r="H87" s="11" t="n"/>
      <c r="I87" s="10" t="n"/>
      <c r="J87" s="8" t="n"/>
    </row>
    <row r="88">
      <c r="B88" s="8" t="n"/>
      <c r="C88" s="8" t="n"/>
      <c r="D88" s="8" t="n"/>
      <c r="E88" s="30" t="n"/>
      <c r="F88" s="12" t="n"/>
      <c r="G88" s="29">
        <f>IF(OR(E88="",F88=""),"",ROUND(E88*F88,2))</f>
        <v/>
      </c>
      <c r="H88" s="11" t="n"/>
      <c r="I88" s="10" t="n"/>
      <c r="J88" s="8" t="n"/>
    </row>
    <row r="89">
      <c r="B89" s="8" t="n"/>
      <c r="C89" s="8" t="n"/>
      <c r="D89" s="8" t="n"/>
      <c r="E89" s="30" t="n"/>
      <c r="F89" s="12" t="n"/>
      <c r="G89" s="29">
        <f>IF(OR(E89="",F89=""),"",ROUND(E89*F89,2))</f>
        <v/>
      </c>
      <c r="H89" s="11" t="n"/>
      <c r="I89" s="10" t="n"/>
      <c r="J89" s="8" t="n"/>
    </row>
    <row r="90">
      <c r="B90" s="8" t="n"/>
      <c r="C90" s="8" t="n"/>
      <c r="D90" s="8" t="n"/>
      <c r="E90" s="30" t="n"/>
      <c r="F90" s="12" t="n"/>
      <c r="G90" s="29">
        <f>IF(OR(E90="",F90=""),"",ROUND(E90*F90,2))</f>
        <v/>
      </c>
      <c r="H90" s="11" t="n"/>
      <c r="I90" s="10" t="n"/>
      <c r="J90" s="8" t="n"/>
    </row>
    <row r="91">
      <c r="B91" s="8" t="n"/>
      <c r="C91" s="8" t="n"/>
      <c r="D91" s="8" t="n"/>
      <c r="E91" s="30" t="n"/>
      <c r="F91" s="12" t="n"/>
      <c r="G91" s="29">
        <f>IF(OR(E91="",F91=""),"",ROUND(E91*F91,2))</f>
        <v/>
      </c>
      <c r="H91" s="11" t="n"/>
      <c r="I91" s="10" t="n"/>
      <c r="J91" s="8" t="n"/>
    </row>
    <row r="92">
      <c r="B92" s="8" t="n"/>
      <c r="C92" s="8" t="n"/>
      <c r="D92" s="8" t="n"/>
      <c r="E92" s="30" t="n"/>
      <c r="F92" s="12" t="n"/>
      <c r="G92" s="29">
        <f>IF(OR(E92="",F92=""),"",ROUND(E92*F92,2))</f>
        <v/>
      </c>
      <c r="H92" s="11" t="n"/>
      <c r="I92" s="10" t="n"/>
      <c r="J92" s="8" t="n"/>
    </row>
    <row r="93">
      <c r="B93" s="8" t="n"/>
      <c r="C93" s="8" t="n"/>
      <c r="D93" s="8" t="n"/>
      <c r="E93" s="30" t="n"/>
      <c r="F93" s="12" t="n"/>
      <c r="G93" s="29">
        <f>IF(OR(E93="",F93=""),"",ROUND(E93*F93,2))</f>
        <v/>
      </c>
      <c r="H93" s="11" t="n"/>
      <c r="I93" s="10" t="n"/>
      <c r="J93" s="8" t="n"/>
    </row>
    <row r="94">
      <c r="B94" s="8" t="n"/>
      <c r="C94" s="8" t="n"/>
      <c r="D94" s="8" t="n"/>
      <c r="E94" s="30" t="n"/>
      <c r="F94" s="12" t="n"/>
      <c r="G94" s="29">
        <f>IF(OR(E94="",F94=""),"",ROUND(E94*F94,2))</f>
        <v/>
      </c>
      <c r="H94" s="11" t="n"/>
      <c r="I94" s="10" t="n"/>
      <c r="J94" s="8" t="n"/>
    </row>
    <row r="95">
      <c r="B95" s="8" t="n"/>
      <c r="C95" s="8" t="n"/>
      <c r="D95" s="8" t="n"/>
      <c r="E95" s="30" t="n"/>
      <c r="F95" s="12" t="n"/>
      <c r="G95" s="29">
        <f>IF(OR(E95="",F95=""),"",ROUND(E95*F95,2))</f>
        <v/>
      </c>
      <c r="H95" s="11" t="n"/>
      <c r="I95" s="10" t="n"/>
      <c r="J95" s="8" t="n"/>
    </row>
    <row r="96">
      <c r="B96" s="8" t="n"/>
      <c r="C96" s="8" t="n"/>
      <c r="D96" s="8" t="n"/>
      <c r="E96" s="30" t="n"/>
      <c r="F96" s="12" t="n"/>
      <c r="G96" s="29">
        <f>IF(OR(E96="",F96=""),"",ROUND(E96*F96,2))</f>
        <v/>
      </c>
      <c r="H96" s="11" t="n"/>
      <c r="I96" s="10" t="n"/>
      <c r="J96" s="8" t="n"/>
    </row>
    <row r="97">
      <c r="B97" s="8" t="n"/>
      <c r="C97" s="8" t="n"/>
      <c r="D97" s="8" t="n"/>
      <c r="E97" s="30" t="n"/>
      <c r="F97" s="12" t="n"/>
      <c r="G97" s="29">
        <f>IF(OR(E97="",F97=""),"",ROUND(E97*F97,2))</f>
        <v/>
      </c>
      <c r="H97" s="11" t="n"/>
      <c r="I97" s="10" t="n"/>
      <c r="J97" s="8" t="n"/>
    </row>
    <row r="98">
      <c r="B98" s="8" t="n"/>
      <c r="C98" s="8" t="n"/>
      <c r="D98" s="8" t="n"/>
      <c r="E98" s="30" t="n"/>
      <c r="F98" s="12" t="n"/>
      <c r="G98" s="29">
        <f>IF(OR(E98="",F98=""),"",ROUND(E98*F98,2))</f>
        <v/>
      </c>
      <c r="H98" s="11" t="n"/>
      <c r="I98" s="10" t="n"/>
      <c r="J98" s="8" t="n"/>
    </row>
    <row r="99">
      <c r="B99" s="8" t="n"/>
      <c r="C99" s="8" t="n"/>
      <c r="D99" s="8" t="n"/>
      <c r="E99" s="30" t="n"/>
      <c r="F99" s="12" t="n"/>
      <c r="G99" s="29">
        <f>IF(OR(E99="",F99=""),"",ROUND(E99*F99,2))</f>
        <v/>
      </c>
      <c r="H99" s="11" t="n"/>
      <c r="I99" s="10" t="n"/>
      <c r="J99" s="8" t="n"/>
    </row>
    <row r="100">
      <c r="B100" s="8" t="n"/>
      <c r="C100" s="8" t="n"/>
      <c r="D100" s="8" t="n"/>
      <c r="E100" s="30" t="n"/>
      <c r="F100" s="12" t="n"/>
      <c r="G100" s="29">
        <f>IF(OR(E100="",F100=""),"",ROUND(E100*F100,2))</f>
        <v/>
      </c>
      <c r="H100" s="11" t="n"/>
      <c r="I100" s="10" t="n"/>
      <c r="J100" s="8" t="n"/>
    </row>
    <row r="101">
      <c r="B101" s="8" t="n"/>
      <c r="C101" s="8" t="n"/>
      <c r="D101" s="8" t="n"/>
      <c r="E101" s="30" t="n"/>
      <c r="F101" s="12" t="n"/>
      <c r="G101" s="29">
        <f>IF(OR(E101="",F101=""),"",ROUND(E101*F101,2))</f>
        <v/>
      </c>
      <c r="H101" s="11" t="n"/>
      <c r="I101" s="10" t="n"/>
      <c r="J101" s="8" t="n"/>
    </row>
    <row r="102">
      <c r="B102" s="8" t="n"/>
      <c r="C102" s="8" t="n"/>
      <c r="D102" s="8" t="n"/>
      <c r="E102" s="30" t="n"/>
      <c r="F102" s="12" t="n"/>
      <c r="G102" s="29">
        <f>IF(OR(E102="",F102=""),"",ROUND(E102*F102,2))</f>
        <v/>
      </c>
      <c r="H102" s="11" t="n"/>
      <c r="I102" s="10" t="n"/>
      <c r="J102" s="8" t="n"/>
    </row>
    <row r="103">
      <c r="B103" s="8" t="n"/>
      <c r="C103" s="8" t="n"/>
      <c r="D103" s="8" t="n"/>
      <c r="E103" s="30" t="n"/>
      <c r="F103" s="12" t="n"/>
      <c r="G103" s="29">
        <f>IF(OR(E103="",F103=""),"",ROUND(E103*F103,2))</f>
        <v/>
      </c>
      <c r="H103" s="11" t="n"/>
      <c r="I103" s="10" t="n"/>
      <c r="J103" s="8" t="n"/>
    </row>
    <row r="104">
      <c r="B104" s="8" t="n"/>
      <c r="C104" s="8" t="n"/>
      <c r="D104" s="8" t="n"/>
      <c r="E104" s="30" t="n"/>
      <c r="F104" s="12" t="n"/>
      <c r="G104" s="29">
        <f>IF(OR(E104="",F104=""),"",ROUND(E104*F104,2))</f>
        <v/>
      </c>
      <c r="H104" s="11" t="n"/>
      <c r="I104" s="10" t="n"/>
      <c r="J104" s="8" t="n"/>
    </row>
    <row r="105">
      <c r="B105" s="8" t="n"/>
      <c r="C105" s="8" t="n"/>
      <c r="D105" s="8" t="n"/>
      <c r="E105" s="30" t="n"/>
      <c r="F105" s="12" t="n"/>
      <c r="G105" s="29">
        <f>IF(OR(E105="",F105=""),"",ROUND(E105*F105,2))</f>
        <v/>
      </c>
      <c r="H105" s="11" t="n"/>
      <c r="I105" s="10" t="n"/>
      <c r="J105" s="8" t="n"/>
    </row>
    <row r="106">
      <c r="B106" s="8" t="n"/>
      <c r="C106" s="8" t="n"/>
      <c r="D106" s="8" t="n"/>
      <c r="E106" s="30" t="n"/>
      <c r="F106" s="12" t="n"/>
      <c r="G106" s="29">
        <f>IF(OR(E106="",F106=""),"",ROUND(E106*F106,2))</f>
        <v/>
      </c>
      <c r="H106" s="11" t="n"/>
      <c r="I106" s="10" t="n"/>
      <c r="J106" s="8" t="n"/>
    </row>
    <row r="107">
      <c r="B107" s="8" t="n"/>
      <c r="C107" s="8" t="n"/>
      <c r="D107" s="8" t="n"/>
      <c r="E107" s="30" t="n"/>
      <c r="F107" s="12" t="n"/>
      <c r="G107" s="29">
        <f>IF(OR(E107="",F107=""),"",ROUND(E107*F107,2))</f>
        <v/>
      </c>
      <c r="H107" s="11" t="n"/>
      <c r="I107" s="10" t="n"/>
      <c r="J107" s="8" t="n"/>
    </row>
    <row r="108">
      <c r="B108" s="8" t="n"/>
      <c r="C108" s="8" t="n"/>
      <c r="D108" s="8" t="n"/>
      <c r="E108" s="30" t="n"/>
      <c r="F108" s="12" t="n"/>
      <c r="G108" s="29">
        <f>IF(OR(E108="",F108=""),"",ROUND(E108*F108,2))</f>
        <v/>
      </c>
      <c r="H108" s="11" t="n"/>
      <c r="I108" s="10" t="n"/>
      <c r="J108" s="8" t="n"/>
    </row>
    <row r="109">
      <c r="B109" s="8" t="n"/>
      <c r="C109" s="8" t="n"/>
      <c r="D109" s="8" t="n"/>
      <c r="E109" s="30" t="n"/>
      <c r="F109" s="12" t="n"/>
      <c r="G109" s="29">
        <f>IF(OR(E109="",F109=""),"",ROUND(E109*F109,2))</f>
        <v/>
      </c>
      <c r="H109" s="11" t="n"/>
      <c r="I109" s="10" t="n"/>
      <c r="J109" s="8" t="n"/>
    </row>
    <row r="110">
      <c r="B110" s="8" t="n"/>
      <c r="C110" s="8" t="n"/>
      <c r="D110" s="8" t="n"/>
      <c r="E110" s="30" t="n"/>
      <c r="F110" s="12" t="n"/>
      <c r="G110" s="29">
        <f>IF(OR(E110="",F110=""),"",ROUND(E110*F110,2))</f>
        <v/>
      </c>
      <c r="H110" s="11" t="n"/>
      <c r="I110" s="10" t="n"/>
      <c r="J110" s="8" t="n"/>
    </row>
    <row r="111">
      <c r="B111" s="8" t="n"/>
      <c r="C111" s="8" t="n"/>
      <c r="D111" s="8" t="n"/>
      <c r="E111" s="30" t="n"/>
      <c r="F111" s="12" t="n"/>
      <c r="G111" s="29">
        <f>IF(OR(E111="",F111=""),"",ROUND(E111*F111,2))</f>
        <v/>
      </c>
      <c r="H111" s="11" t="n"/>
      <c r="I111" s="10" t="n"/>
      <c r="J111" s="8" t="n"/>
    </row>
    <row r="112">
      <c r="B112" s="8" t="n"/>
      <c r="C112" s="8" t="n"/>
      <c r="D112" s="8" t="n"/>
      <c r="E112" s="30" t="n"/>
      <c r="F112" s="12" t="n"/>
      <c r="G112" s="29">
        <f>IF(OR(E112="",F112=""),"",ROUND(E112*F112,2))</f>
        <v/>
      </c>
      <c r="H112" s="11" t="n"/>
      <c r="I112" s="10" t="n"/>
      <c r="J112" s="8" t="n"/>
    </row>
    <row r="113">
      <c r="B113" s="8" t="n"/>
      <c r="C113" s="8" t="n"/>
      <c r="D113" s="8" t="n"/>
      <c r="E113" s="30" t="n"/>
      <c r="F113" s="12" t="n"/>
      <c r="G113" s="29">
        <f>IF(OR(E113="",F113=""),"",ROUND(E113*F113,2))</f>
        <v/>
      </c>
      <c r="H113" s="11" t="n"/>
      <c r="I113" s="10" t="n"/>
      <c r="J113" s="8" t="n"/>
    </row>
    <row r="114">
      <c r="B114" s="8" t="n"/>
      <c r="C114" s="8" t="n"/>
      <c r="D114" s="8" t="n"/>
      <c r="E114" s="30" t="n"/>
      <c r="F114" s="12" t="n"/>
      <c r="G114" s="29">
        <f>IF(OR(E114="",F114=""),"",ROUND(E114*F114,2))</f>
        <v/>
      </c>
      <c r="H114" s="11" t="n"/>
      <c r="I114" s="10" t="n"/>
      <c r="J114" s="8" t="n"/>
    </row>
    <row r="115">
      <c r="B115" s="8" t="n"/>
      <c r="C115" s="8" t="n"/>
      <c r="D115" s="8" t="n"/>
      <c r="E115" s="30" t="n"/>
      <c r="F115" s="12" t="n"/>
      <c r="G115" s="29">
        <f>IF(OR(E115="",F115=""),"",ROUND(E115*F115,2))</f>
        <v/>
      </c>
      <c r="H115" s="11" t="n"/>
      <c r="I115" s="10" t="n"/>
      <c r="J115" s="8" t="n"/>
    </row>
    <row r="116">
      <c r="B116" s="8" t="n"/>
      <c r="C116" s="8" t="n"/>
      <c r="D116" s="8" t="n"/>
      <c r="E116" s="30" t="n"/>
      <c r="F116" s="12" t="n"/>
      <c r="G116" s="29">
        <f>IF(OR(E116="",F116=""),"",ROUND(E116*F116,2))</f>
        <v/>
      </c>
      <c r="H116" s="11" t="n"/>
      <c r="I116" s="10" t="n"/>
      <c r="J116" s="8" t="n"/>
    </row>
    <row r="117">
      <c r="B117" s="8" t="n"/>
      <c r="C117" s="8" t="n"/>
      <c r="D117" s="8" t="n"/>
      <c r="E117" s="30" t="n"/>
      <c r="F117" s="12" t="n"/>
      <c r="G117" s="29">
        <f>IF(OR(E117="",F117=""),"",ROUND(E117*F117,2))</f>
        <v/>
      </c>
      <c r="H117" s="11" t="n"/>
      <c r="I117" s="10" t="n"/>
      <c r="J117" s="8" t="n"/>
    </row>
    <row r="118">
      <c r="B118" s="8" t="n"/>
      <c r="C118" s="8" t="n"/>
      <c r="D118" s="8" t="n"/>
      <c r="E118" s="30" t="n"/>
      <c r="F118" s="12" t="n"/>
      <c r="G118" s="29">
        <f>IF(OR(E118="",F118=""),"",ROUND(E118*F118,2))</f>
        <v/>
      </c>
      <c r="H118" s="11" t="n"/>
      <c r="I118" s="10" t="n"/>
      <c r="J118" s="8" t="n"/>
    </row>
    <row r="119">
      <c r="B119" s="8" t="n"/>
      <c r="C119" s="8" t="n"/>
      <c r="D119" s="8" t="n"/>
      <c r="E119" s="30" t="n"/>
      <c r="F119" s="12" t="n"/>
      <c r="G119" s="29">
        <f>IF(OR(E119="",F119=""),"",ROUND(E119*F119,2))</f>
        <v/>
      </c>
      <c r="H119" s="11" t="n"/>
      <c r="I119" s="10" t="n"/>
      <c r="J119" s="8" t="n"/>
    </row>
    <row r="120">
      <c r="B120" s="8" t="n"/>
      <c r="C120" s="8" t="n"/>
      <c r="D120" s="8" t="n"/>
      <c r="E120" s="30" t="n"/>
      <c r="F120" s="12" t="n"/>
      <c r="G120" s="29">
        <f>IF(OR(E120="",F120=""),"",ROUND(E120*F120,2))</f>
        <v/>
      </c>
      <c r="H120" s="11" t="n"/>
      <c r="I120" s="10" t="n"/>
      <c r="J120" s="8" t="n"/>
    </row>
    <row r="121">
      <c r="B121" s="8" t="n"/>
      <c r="C121" s="8" t="n"/>
      <c r="D121" s="8" t="n"/>
      <c r="E121" s="30" t="n"/>
      <c r="F121" s="12" t="n"/>
      <c r="G121" s="29">
        <f>IF(OR(E121="",F121=""),"",ROUND(E121*F121,2))</f>
        <v/>
      </c>
      <c r="H121" s="11" t="n"/>
      <c r="I121" s="10" t="n"/>
      <c r="J121" s="8" t="n"/>
    </row>
    <row r="122">
      <c r="B122" s="8" t="n"/>
      <c r="C122" s="8" t="n"/>
      <c r="D122" s="8" t="n"/>
      <c r="E122" s="30" t="n"/>
      <c r="F122" s="12" t="n"/>
      <c r="G122" s="29">
        <f>IF(OR(E122="",F122=""),"",ROUND(E122*F122,2))</f>
        <v/>
      </c>
      <c r="H122" s="11" t="n"/>
      <c r="I122" s="10" t="n"/>
      <c r="J122" s="8" t="n"/>
    </row>
    <row r="123">
      <c r="B123" s="8" t="n"/>
      <c r="C123" s="8" t="n"/>
      <c r="D123" s="8" t="n"/>
      <c r="E123" s="30" t="n"/>
      <c r="F123" s="12" t="n"/>
      <c r="G123" s="29">
        <f>IF(OR(E123="",F123=""),"",ROUND(E123*F123,2))</f>
        <v/>
      </c>
      <c r="H123" s="11" t="n"/>
      <c r="I123" s="10" t="n"/>
      <c r="J123" s="8" t="n"/>
    </row>
    <row r="124">
      <c r="B124" s="8" t="n"/>
      <c r="C124" s="8" t="n"/>
      <c r="D124" s="8" t="n"/>
      <c r="E124" s="30" t="n"/>
      <c r="F124" s="12" t="n"/>
      <c r="G124" s="29">
        <f>IF(OR(E124="",F124=""),"",ROUND(E124*F124,2))</f>
        <v/>
      </c>
      <c r="H124" s="11" t="n"/>
      <c r="I124" s="10" t="n"/>
      <c r="J124" s="8" t="n"/>
    </row>
    <row r="125">
      <c r="B125" s="8" t="n"/>
      <c r="C125" s="8" t="n"/>
      <c r="D125" s="8" t="n"/>
      <c r="E125" s="30" t="n"/>
      <c r="F125" s="12" t="n"/>
      <c r="G125" s="29">
        <f>IF(OR(E125="",F125=""),"",ROUND(E125*F125,2))</f>
        <v/>
      </c>
      <c r="H125" s="11" t="n"/>
      <c r="I125" s="10" t="n"/>
      <c r="J125" s="8" t="n"/>
    </row>
    <row r="126">
      <c r="B126" s="8" t="n"/>
      <c r="C126" s="8" t="n"/>
      <c r="D126" s="8" t="n"/>
      <c r="E126" s="30" t="n"/>
      <c r="F126" s="12" t="n"/>
      <c r="G126" s="29">
        <f>IF(OR(E126="",F126=""),"",ROUND(E126*F126,2))</f>
        <v/>
      </c>
      <c r="H126" s="11" t="n"/>
      <c r="I126" s="10" t="n"/>
      <c r="J126" s="8" t="n"/>
    </row>
    <row r="127">
      <c r="B127" s="8" t="n"/>
      <c r="C127" s="8" t="n"/>
      <c r="D127" s="8" t="n"/>
      <c r="E127" s="30" t="n"/>
      <c r="F127" s="12" t="n"/>
      <c r="G127" s="29">
        <f>IF(OR(E127="",F127=""),"",ROUND(E127*F127,2))</f>
        <v/>
      </c>
      <c r="H127" s="11" t="n"/>
      <c r="I127" s="10" t="n"/>
      <c r="J127" s="8" t="n"/>
    </row>
    <row r="128">
      <c r="B128" s="8" t="n"/>
      <c r="C128" s="8" t="n"/>
      <c r="D128" s="8" t="n"/>
      <c r="E128" s="30" t="n"/>
      <c r="F128" s="12" t="n"/>
      <c r="G128" s="29">
        <f>IF(OR(E128="",F128=""),"",ROUND(E128*F128,2))</f>
        <v/>
      </c>
      <c r="H128" s="11" t="n"/>
      <c r="I128" s="10" t="n"/>
      <c r="J128" s="8" t="n"/>
    </row>
    <row r="129">
      <c r="B129" s="8" t="n"/>
      <c r="C129" s="8" t="n"/>
      <c r="D129" s="8" t="n"/>
      <c r="E129" s="30" t="n"/>
      <c r="F129" s="12" t="n"/>
      <c r="G129" s="29">
        <f>IF(OR(E129="",F129=""),"",ROUND(E129*F129,2))</f>
        <v/>
      </c>
      <c r="H129" s="11" t="n"/>
      <c r="I129" s="10" t="n"/>
      <c r="J129" s="8" t="n"/>
    </row>
    <row r="130">
      <c r="B130" s="8" t="n"/>
      <c r="C130" s="8" t="n"/>
      <c r="D130" s="8" t="n"/>
      <c r="E130" s="30" t="n"/>
      <c r="F130" s="12" t="n"/>
      <c r="G130" s="29">
        <f>IF(OR(E130="",F130=""),"",ROUND(E130*F130,2))</f>
        <v/>
      </c>
      <c r="H130" s="11" t="n"/>
      <c r="I130" s="10" t="n"/>
      <c r="J130" s="8" t="n"/>
    </row>
    <row r="131">
      <c r="B131" s="8" t="n"/>
      <c r="C131" s="8" t="n"/>
      <c r="D131" s="8" t="n"/>
      <c r="E131" s="30" t="n"/>
      <c r="F131" s="12" t="n"/>
      <c r="G131" s="29">
        <f>IF(OR(E131="",F131=""),"",ROUND(E131*F131,2))</f>
        <v/>
      </c>
      <c r="H131" s="11" t="n"/>
      <c r="I131" s="10" t="n"/>
      <c r="J131" s="8" t="n"/>
    </row>
    <row r="132">
      <c r="B132" s="8" t="n"/>
      <c r="C132" s="8" t="n"/>
      <c r="D132" s="8" t="n"/>
      <c r="E132" s="30" t="n"/>
      <c r="F132" s="12" t="n"/>
      <c r="G132" s="29">
        <f>IF(OR(E132="",F132=""),"",ROUND(E132*F132,2))</f>
        <v/>
      </c>
      <c r="H132" s="11" t="n"/>
      <c r="I132" s="10" t="n"/>
      <c r="J132" s="8" t="n"/>
    </row>
    <row r="133">
      <c r="B133" s="8" t="n"/>
      <c r="C133" s="8" t="n"/>
      <c r="D133" s="8" t="n"/>
      <c r="E133" s="30" t="n"/>
      <c r="F133" s="12" t="n"/>
      <c r="G133" s="29">
        <f>IF(OR(E133="",F133=""),"",ROUND(E133*F133,2))</f>
        <v/>
      </c>
      <c r="H133" s="11" t="n"/>
      <c r="I133" s="10" t="n"/>
      <c r="J133" s="8" t="n"/>
    </row>
    <row r="134">
      <c r="B134" s="8" t="n"/>
      <c r="C134" s="8" t="n"/>
      <c r="D134" s="8" t="n"/>
      <c r="E134" s="30" t="n"/>
      <c r="F134" s="12" t="n"/>
      <c r="G134" s="29">
        <f>IF(OR(E134="",F134=""),"",ROUND(E134*F134,2))</f>
        <v/>
      </c>
      <c r="H134" s="11" t="n"/>
      <c r="I134" s="10" t="n"/>
      <c r="J134" s="8" t="n"/>
    </row>
    <row r="135">
      <c r="B135" s="8" t="n"/>
      <c r="C135" s="8" t="n"/>
      <c r="D135" s="8" t="n"/>
      <c r="E135" s="30" t="n"/>
      <c r="F135" s="12" t="n"/>
      <c r="G135" s="29">
        <f>IF(OR(E135="",F135=""),"",ROUND(E135*F135,2))</f>
        <v/>
      </c>
      <c r="H135" s="11" t="n"/>
      <c r="I135" s="10" t="n"/>
      <c r="J135" s="8" t="n"/>
    </row>
    <row r="136">
      <c r="B136" s="8" t="n"/>
      <c r="C136" s="8" t="n"/>
      <c r="D136" s="8" t="n"/>
      <c r="E136" s="30" t="n"/>
      <c r="F136" s="12" t="n"/>
      <c r="G136" s="29">
        <f>IF(OR(E136="",F136=""),"",ROUND(E136*F136,2))</f>
        <v/>
      </c>
      <c r="H136" s="11" t="n"/>
      <c r="I136" s="10" t="n"/>
      <c r="J136" s="8" t="n"/>
    </row>
    <row r="137">
      <c r="B137" s="8" t="n"/>
      <c r="C137" s="8" t="n"/>
      <c r="D137" s="8" t="n"/>
      <c r="E137" s="30" t="n"/>
      <c r="F137" s="12" t="n"/>
      <c r="G137" s="29">
        <f>IF(OR(E137="",F137=""),"",ROUND(E137*F137,2))</f>
        <v/>
      </c>
      <c r="H137" s="11" t="n"/>
      <c r="I137" s="10" t="n"/>
      <c r="J137" s="8" t="n"/>
    </row>
    <row r="138">
      <c r="B138" s="8" t="n"/>
      <c r="C138" s="8" t="n"/>
      <c r="D138" s="8" t="n"/>
      <c r="E138" s="30" t="n"/>
      <c r="F138" s="12" t="n"/>
      <c r="G138" s="29">
        <f>IF(OR(E138="",F138=""),"",ROUND(E138*F138,2))</f>
        <v/>
      </c>
      <c r="H138" s="11" t="n"/>
      <c r="I138" s="10" t="n"/>
      <c r="J138" s="8" t="n"/>
    </row>
    <row r="139">
      <c r="B139" s="8" t="n"/>
      <c r="C139" s="8" t="n"/>
      <c r="D139" s="8" t="n"/>
      <c r="E139" s="30" t="n"/>
      <c r="F139" s="12" t="n"/>
      <c r="G139" s="29">
        <f>IF(OR(E139="",F139=""),"",ROUND(E139*F139,2))</f>
        <v/>
      </c>
      <c r="H139" s="11" t="n"/>
      <c r="I139" s="10" t="n"/>
      <c r="J139" s="8" t="n"/>
    </row>
    <row r="140">
      <c r="B140" s="8" t="n"/>
      <c r="C140" s="8" t="n"/>
      <c r="D140" s="8" t="n"/>
      <c r="E140" s="30" t="n"/>
      <c r="F140" s="12" t="n"/>
      <c r="G140" s="29">
        <f>IF(OR(E140="",F140=""),"",ROUND(E140*F140,2))</f>
        <v/>
      </c>
      <c r="H140" s="11" t="n"/>
      <c r="I140" s="10" t="n"/>
      <c r="J140" s="8" t="n"/>
    </row>
    <row r="141">
      <c r="B141" s="8" t="n"/>
      <c r="C141" s="8" t="n"/>
      <c r="D141" s="8" t="n"/>
      <c r="E141" s="30" t="n"/>
      <c r="F141" s="12" t="n"/>
      <c r="G141" s="29">
        <f>IF(OR(E141="",F141=""),"",ROUND(E141*F141,2))</f>
        <v/>
      </c>
      <c r="H141" s="11" t="n"/>
      <c r="I141" s="10" t="n"/>
      <c r="J141" s="8" t="n"/>
    </row>
    <row r="142">
      <c r="B142" s="8" t="n"/>
      <c r="C142" s="8" t="n"/>
      <c r="D142" s="8" t="n"/>
      <c r="E142" s="30" t="n"/>
      <c r="F142" s="12" t="n"/>
      <c r="G142" s="29">
        <f>IF(OR(E142="",F142=""),"",ROUND(E142*F142,2))</f>
        <v/>
      </c>
      <c r="H142" s="11" t="n"/>
      <c r="I142" s="10" t="n"/>
      <c r="J142" s="8" t="n"/>
    </row>
    <row r="143">
      <c r="B143" s="8" t="n"/>
      <c r="C143" s="8" t="n"/>
      <c r="D143" s="8" t="n"/>
      <c r="E143" s="30" t="n"/>
      <c r="F143" s="12" t="n"/>
      <c r="G143" s="29">
        <f>IF(OR(E143="",F143=""),"",ROUND(E143*F143,2))</f>
        <v/>
      </c>
      <c r="H143" s="11" t="n"/>
      <c r="I143" s="10" t="n"/>
      <c r="J143" s="8" t="n"/>
    </row>
    <row r="144">
      <c r="B144" s="8" t="n"/>
      <c r="C144" s="8" t="n"/>
      <c r="D144" s="8" t="n"/>
      <c r="E144" s="30" t="n"/>
      <c r="F144" s="12" t="n"/>
      <c r="G144" s="29">
        <f>IF(OR(E144="",F144=""),"",ROUND(E144*F144,2))</f>
        <v/>
      </c>
      <c r="H144" s="11" t="n"/>
      <c r="I144" s="10" t="n"/>
      <c r="J144" s="8" t="n"/>
    </row>
    <row r="145">
      <c r="B145" s="8" t="n"/>
      <c r="C145" s="8" t="n"/>
      <c r="D145" s="8" t="n"/>
      <c r="E145" s="30" t="n"/>
      <c r="F145" s="12" t="n"/>
      <c r="G145" s="29">
        <f>IF(OR(E145="",F145=""),"",ROUND(E145*F145,2))</f>
        <v/>
      </c>
      <c r="H145" s="11" t="n"/>
      <c r="I145" s="10" t="n"/>
      <c r="J145" s="8" t="n"/>
    </row>
    <row r="146">
      <c r="B146" s="8" t="n"/>
      <c r="C146" s="8" t="n"/>
      <c r="D146" s="8" t="n"/>
      <c r="E146" s="30" t="n"/>
      <c r="F146" s="12" t="n"/>
      <c r="G146" s="29">
        <f>IF(OR(E146="",F146=""),"",ROUND(E146*F146,2))</f>
        <v/>
      </c>
      <c r="H146" s="11" t="n"/>
      <c r="I146" s="10" t="n"/>
      <c r="J146" s="8" t="n"/>
    </row>
    <row r="147">
      <c r="B147" s="8" t="n"/>
      <c r="C147" s="8" t="n"/>
      <c r="D147" s="8" t="n"/>
      <c r="E147" s="30" t="n"/>
      <c r="F147" s="12" t="n"/>
      <c r="G147" s="29">
        <f>IF(OR(E147="",F147=""),"",ROUND(E147*F147,2))</f>
        <v/>
      </c>
      <c r="H147" s="11" t="n"/>
      <c r="I147" s="10" t="n"/>
      <c r="J147" s="8" t="n"/>
    </row>
    <row r="148">
      <c r="B148" s="8" t="n"/>
      <c r="C148" s="8" t="n"/>
      <c r="D148" s="8" t="n"/>
      <c r="E148" s="30" t="n"/>
      <c r="F148" s="12" t="n"/>
      <c r="G148" s="29">
        <f>IF(OR(E148="",F148=""),"",ROUND(E148*F148,2))</f>
        <v/>
      </c>
      <c r="H148" s="11" t="n"/>
      <c r="I148" s="10" t="n"/>
      <c r="J148" s="8" t="n"/>
    </row>
    <row r="149">
      <c r="B149" s="8" t="n"/>
      <c r="C149" s="8" t="n"/>
      <c r="D149" s="8" t="n"/>
      <c r="E149" s="30" t="n"/>
      <c r="F149" s="12" t="n"/>
      <c r="G149" s="29">
        <f>IF(OR(E149="",F149=""),"",ROUND(E149*F149,2))</f>
        <v/>
      </c>
      <c r="H149" s="11" t="n"/>
      <c r="I149" s="10" t="n"/>
      <c r="J149" s="8" t="n"/>
    </row>
    <row r="150">
      <c r="B150" s="8" t="n"/>
      <c r="C150" s="8" t="n"/>
      <c r="D150" s="8" t="n"/>
      <c r="E150" s="30" t="n"/>
      <c r="F150" s="12" t="n"/>
      <c r="G150" s="29">
        <f>IF(OR(E150="",F150=""),"",ROUND(E150*F150,2))</f>
        <v/>
      </c>
      <c r="H150" s="11" t="n"/>
      <c r="I150" s="10" t="n"/>
      <c r="J150" s="8" t="n"/>
    </row>
    <row r="151">
      <c r="B151" s="8" t="n"/>
      <c r="C151" s="8" t="n"/>
      <c r="D151" s="8" t="n"/>
      <c r="E151" s="30" t="n"/>
      <c r="F151" s="12" t="n"/>
      <c r="G151" s="29">
        <f>IF(OR(E151="",F151=""),"",ROUND(E151*F151,2))</f>
        <v/>
      </c>
      <c r="H151" s="11" t="n"/>
      <c r="I151" s="10" t="n"/>
      <c r="J151" s="8" t="n"/>
    </row>
    <row r="152">
      <c r="B152" s="8" t="n"/>
      <c r="C152" s="8" t="n"/>
      <c r="D152" s="8" t="n"/>
      <c r="E152" s="30" t="n"/>
      <c r="F152" s="12" t="n"/>
      <c r="G152" s="29">
        <f>IF(OR(E152="",F152=""),"",ROUND(E152*F152,2))</f>
        <v/>
      </c>
      <c r="H152" s="11" t="n"/>
      <c r="I152" s="10" t="n"/>
      <c r="J152" s="8" t="n"/>
    </row>
    <row r="153">
      <c r="B153" s="8" t="n"/>
      <c r="C153" s="8" t="n"/>
      <c r="D153" s="8" t="n"/>
      <c r="E153" s="30" t="n"/>
      <c r="F153" s="12" t="n"/>
      <c r="G153" s="29">
        <f>IF(OR(E153="",F153=""),"",ROUND(E153*F153,2))</f>
        <v/>
      </c>
      <c r="H153" s="11" t="n"/>
      <c r="I153" s="10" t="n"/>
      <c r="J153" s="8" t="n"/>
    </row>
    <row r="154">
      <c r="B154" s="8" t="n"/>
      <c r="C154" s="8" t="n"/>
      <c r="D154" s="8" t="n"/>
      <c r="E154" s="30" t="n"/>
      <c r="F154" s="12" t="n"/>
      <c r="G154" s="29">
        <f>IF(OR(E154="",F154=""),"",ROUND(E154*F154,2))</f>
        <v/>
      </c>
      <c r="H154" s="11" t="n"/>
      <c r="I154" s="10" t="n"/>
      <c r="J154" s="8" t="n"/>
    </row>
    <row r="155">
      <c r="B155" s="8" t="n"/>
      <c r="C155" s="8" t="n"/>
      <c r="D155" s="8" t="n"/>
      <c r="E155" s="30" t="n"/>
      <c r="F155" s="12" t="n"/>
      <c r="G155" s="29">
        <f>IF(OR(E155="",F155=""),"",ROUND(E155*F155,2))</f>
        <v/>
      </c>
      <c r="H155" s="11" t="n"/>
      <c r="I155" s="10" t="n"/>
      <c r="J155" s="8" t="n"/>
    </row>
    <row r="156">
      <c r="B156" s="8" t="n"/>
      <c r="C156" s="8" t="n"/>
      <c r="D156" s="8" t="n"/>
      <c r="E156" s="30" t="n"/>
      <c r="F156" s="12" t="n"/>
      <c r="G156" s="29">
        <f>IF(OR(E156="",F156=""),"",ROUND(E156*F156,2))</f>
        <v/>
      </c>
      <c r="H156" s="11" t="n"/>
      <c r="I156" s="10" t="n"/>
      <c r="J156" s="8" t="n"/>
    </row>
    <row r="157">
      <c r="B157" s="8" t="n"/>
      <c r="C157" s="8" t="n"/>
      <c r="D157" s="8" t="n"/>
      <c r="E157" s="30" t="n"/>
      <c r="F157" s="12" t="n"/>
      <c r="G157" s="29">
        <f>IF(OR(E157="",F157=""),"",ROUND(E157*F157,2))</f>
        <v/>
      </c>
      <c r="H157" s="11" t="n"/>
      <c r="I157" s="10" t="n"/>
      <c r="J157" s="8" t="n"/>
    </row>
    <row r="158">
      <c r="B158" s="8" t="n"/>
      <c r="C158" s="8" t="n"/>
      <c r="D158" s="8" t="n"/>
      <c r="E158" s="30" t="n"/>
      <c r="F158" s="12" t="n"/>
      <c r="G158" s="29">
        <f>IF(OR(E158="",F158=""),"",ROUND(E158*F158,2))</f>
        <v/>
      </c>
      <c r="H158" s="11" t="n"/>
      <c r="I158" s="10" t="n"/>
      <c r="J158" s="8" t="n"/>
    </row>
    <row r="159">
      <c r="B159" s="8" t="n"/>
      <c r="C159" s="8" t="n"/>
      <c r="D159" s="8" t="n"/>
      <c r="E159" s="30" t="n"/>
      <c r="F159" s="12" t="n"/>
      <c r="G159" s="29">
        <f>IF(OR(E159="",F159=""),"",ROUND(E159*F159,2))</f>
        <v/>
      </c>
      <c r="H159" s="11" t="n"/>
      <c r="I159" s="10" t="n"/>
      <c r="J159" s="8" t="n"/>
    </row>
    <row r="160">
      <c r="B160" s="8" t="n"/>
      <c r="C160" s="8" t="n"/>
      <c r="D160" s="8" t="n"/>
      <c r="E160" s="30" t="n"/>
      <c r="F160" s="12" t="n"/>
      <c r="G160" s="29">
        <f>IF(OR(E160="",F160=""),"",ROUND(E160*F160,2))</f>
        <v/>
      </c>
      <c r="H160" s="11" t="n"/>
      <c r="I160" s="10" t="n"/>
      <c r="J160" s="8" t="n"/>
    </row>
    <row r="161">
      <c r="B161" s="8" t="n"/>
      <c r="C161" s="8" t="n"/>
      <c r="D161" s="8" t="n"/>
      <c r="E161" s="30" t="n"/>
      <c r="F161" s="12" t="n"/>
      <c r="G161" s="29">
        <f>IF(OR(E161="",F161=""),"",ROUND(E161*F161,2))</f>
        <v/>
      </c>
      <c r="H161" s="11" t="n"/>
      <c r="I161" s="10" t="n"/>
      <c r="J161" s="8" t="n"/>
    </row>
    <row r="162">
      <c r="B162" s="8" t="n"/>
      <c r="C162" s="8" t="n"/>
      <c r="D162" s="8" t="n"/>
      <c r="E162" s="30" t="n"/>
      <c r="F162" s="12" t="n"/>
      <c r="G162" s="29">
        <f>IF(OR(E162="",F162=""),"",ROUND(E162*F162,2))</f>
        <v/>
      </c>
      <c r="H162" s="11" t="n"/>
      <c r="I162" s="10" t="n"/>
      <c r="J162" s="8" t="n"/>
    </row>
    <row r="163">
      <c r="B163" s="8" t="n"/>
      <c r="C163" s="8" t="n"/>
      <c r="D163" s="8" t="n"/>
      <c r="E163" s="30" t="n"/>
      <c r="F163" s="12" t="n"/>
      <c r="G163" s="29">
        <f>IF(OR(E163="",F163=""),"",ROUND(E163*F163,2))</f>
        <v/>
      </c>
      <c r="H163" s="11" t="n"/>
      <c r="I163" s="10" t="n"/>
      <c r="J163" s="8" t="n"/>
    </row>
    <row r="164">
      <c r="B164" s="8" t="n"/>
      <c r="C164" s="8" t="n"/>
      <c r="D164" s="8" t="n"/>
      <c r="E164" s="30" t="n"/>
      <c r="F164" s="12" t="n"/>
      <c r="G164" s="29">
        <f>IF(OR(E164="",F164=""),"",ROUND(E164*F164,2))</f>
        <v/>
      </c>
      <c r="H164" s="11" t="n"/>
      <c r="I164" s="10" t="n"/>
      <c r="J164" s="8" t="n"/>
    </row>
    <row r="165">
      <c r="B165" s="8" t="n"/>
      <c r="C165" s="8" t="n"/>
      <c r="D165" s="8" t="n"/>
      <c r="E165" s="30" t="n"/>
      <c r="F165" s="12" t="n"/>
      <c r="G165" s="29">
        <f>IF(OR(E165="",F165=""),"",ROUND(E165*F165,2))</f>
        <v/>
      </c>
      <c r="H165" s="11" t="n"/>
      <c r="I165" s="10" t="n"/>
      <c r="J165" s="8" t="n"/>
    </row>
    <row r="166">
      <c r="B166" s="8" t="n"/>
      <c r="C166" s="8" t="n"/>
      <c r="D166" s="8" t="n"/>
      <c r="E166" s="30" t="n"/>
      <c r="F166" s="12" t="n"/>
      <c r="G166" s="29">
        <f>IF(OR(E166="",F166=""),"",ROUND(E166*F166,2))</f>
        <v/>
      </c>
      <c r="H166" s="11" t="n"/>
      <c r="I166" s="10" t="n"/>
      <c r="J166" s="8" t="n"/>
    </row>
    <row r="167">
      <c r="B167" s="8" t="n"/>
      <c r="C167" s="8" t="n"/>
      <c r="D167" s="8" t="n"/>
      <c r="E167" s="30" t="n"/>
      <c r="F167" s="12" t="n"/>
      <c r="G167" s="29">
        <f>IF(OR(E167="",F167=""),"",ROUND(E167*F167,2))</f>
        <v/>
      </c>
      <c r="H167" s="11" t="n"/>
      <c r="I167" s="10" t="n"/>
      <c r="J167" s="8" t="n"/>
    </row>
    <row r="168">
      <c r="B168" s="8" t="n"/>
      <c r="C168" s="8" t="n"/>
      <c r="D168" s="8" t="n"/>
      <c r="E168" s="30" t="n"/>
      <c r="F168" s="12" t="n"/>
      <c r="G168" s="29">
        <f>IF(OR(E168="",F168=""),"",ROUND(E168*F168,2))</f>
        <v/>
      </c>
      <c r="H168" s="11" t="n"/>
      <c r="I168" s="10" t="n"/>
      <c r="J168" s="8" t="n"/>
    </row>
    <row r="169">
      <c r="B169" s="8" t="n"/>
      <c r="C169" s="8" t="n"/>
      <c r="D169" s="8" t="n"/>
      <c r="E169" s="30" t="n"/>
      <c r="F169" s="12" t="n"/>
      <c r="G169" s="29">
        <f>IF(OR(E169="",F169=""),"",ROUND(E169*F169,2))</f>
        <v/>
      </c>
      <c r="H169" s="11" t="n"/>
      <c r="I169" s="10" t="n"/>
      <c r="J169" s="8" t="n"/>
    </row>
    <row r="170">
      <c r="B170" s="8" t="n"/>
      <c r="C170" s="8" t="n"/>
      <c r="D170" s="8" t="n"/>
      <c r="E170" s="30" t="n"/>
      <c r="F170" s="12" t="n"/>
      <c r="G170" s="29">
        <f>IF(OR(E170="",F170=""),"",ROUND(E170*F170,2))</f>
        <v/>
      </c>
      <c r="H170" s="11" t="n"/>
      <c r="I170" s="10" t="n"/>
      <c r="J170" s="8" t="n"/>
    </row>
    <row r="171">
      <c r="B171" s="8" t="n"/>
      <c r="C171" s="8" t="n"/>
      <c r="D171" s="8" t="n"/>
      <c r="E171" s="30" t="n"/>
      <c r="F171" s="12" t="n"/>
      <c r="G171" s="29">
        <f>IF(OR(E171="",F171=""),"",ROUND(E171*F171,2))</f>
        <v/>
      </c>
      <c r="H171" s="11" t="n"/>
      <c r="I171" s="10" t="n"/>
      <c r="J171" s="8" t="n"/>
    </row>
    <row r="172">
      <c r="B172" s="8" t="n"/>
      <c r="C172" s="8" t="n"/>
      <c r="D172" s="8" t="n"/>
      <c r="E172" s="30" t="n"/>
      <c r="F172" s="12" t="n"/>
      <c r="G172" s="29">
        <f>IF(OR(E172="",F172=""),"",ROUND(E172*F172,2))</f>
        <v/>
      </c>
      <c r="H172" s="11" t="n"/>
      <c r="I172" s="10" t="n"/>
      <c r="J172" s="8" t="n"/>
    </row>
    <row r="173">
      <c r="B173" s="8" t="n"/>
      <c r="C173" s="8" t="n"/>
      <c r="D173" s="8" t="n"/>
      <c r="E173" s="30" t="n"/>
      <c r="F173" s="12" t="n"/>
      <c r="G173" s="29">
        <f>IF(OR(E173="",F173=""),"",ROUND(E173*F173,2))</f>
        <v/>
      </c>
      <c r="H173" s="11" t="n"/>
      <c r="I173" s="10" t="n"/>
      <c r="J173" s="8" t="n"/>
    </row>
    <row r="174">
      <c r="B174" s="8" t="n"/>
      <c r="C174" s="8" t="n"/>
      <c r="D174" s="8" t="n"/>
      <c r="E174" s="30" t="n"/>
      <c r="F174" s="12" t="n"/>
      <c r="G174" s="29">
        <f>IF(OR(E174="",F174=""),"",ROUND(E174*F174,2))</f>
        <v/>
      </c>
      <c r="H174" s="11" t="n"/>
      <c r="I174" s="10" t="n"/>
      <c r="J174" s="8" t="n"/>
    </row>
    <row r="175">
      <c r="B175" s="8" t="n"/>
      <c r="C175" s="8" t="n"/>
      <c r="D175" s="8" t="n"/>
      <c r="E175" s="30" t="n"/>
      <c r="F175" s="12" t="n"/>
      <c r="G175" s="29">
        <f>IF(OR(E175="",F175=""),"",ROUND(E175*F175,2))</f>
        <v/>
      </c>
      <c r="H175" s="11" t="n"/>
      <c r="I175" s="10" t="n"/>
      <c r="J175" s="8" t="n"/>
    </row>
    <row r="176">
      <c r="B176" s="8" t="n"/>
      <c r="C176" s="8" t="n"/>
      <c r="D176" s="8" t="n"/>
      <c r="E176" s="30" t="n"/>
      <c r="F176" s="12" t="n"/>
      <c r="G176" s="29">
        <f>IF(OR(E176="",F176=""),"",ROUND(E176*F176,2))</f>
        <v/>
      </c>
      <c r="H176" s="11" t="n"/>
      <c r="I176" s="10" t="n"/>
      <c r="J176" s="8" t="n"/>
    </row>
    <row r="177">
      <c r="B177" s="8" t="n"/>
      <c r="C177" s="8" t="n"/>
      <c r="D177" s="8" t="n"/>
      <c r="E177" s="30" t="n"/>
      <c r="F177" s="12" t="n"/>
      <c r="G177" s="29">
        <f>IF(OR(E177="",F177=""),"",ROUND(E177*F177,2))</f>
        <v/>
      </c>
      <c r="H177" s="11" t="n"/>
      <c r="I177" s="10" t="n"/>
      <c r="J177" s="8" t="n"/>
    </row>
    <row r="178">
      <c r="B178" s="8" t="n"/>
      <c r="C178" s="8" t="n"/>
      <c r="D178" s="8" t="n"/>
      <c r="E178" s="30" t="n"/>
      <c r="F178" s="12" t="n"/>
      <c r="G178" s="29">
        <f>IF(OR(E178="",F178=""),"",ROUND(E178*F178,2))</f>
        <v/>
      </c>
      <c r="H178" s="11" t="n"/>
      <c r="I178" s="10" t="n"/>
      <c r="J178" s="8" t="n"/>
    </row>
    <row r="179">
      <c r="B179" s="8" t="n"/>
      <c r="C179" s="8" t="n"/>
      <c r="D179" s="8" t="n"/>
      <c r="E179" s="30" t="n"/>
      <c r="F179" s="12" t="n"/>
      <c r="G179" s="29">
        <f>IF(OR(E179="",F179=""),"",ROUND(E179*F179,2))</f>
        <v/>
      </c>
      <c r="H179" s="11" t="n"/>
      <c r="I179" s="10" t="n"/>
      <c r="J179" s="8" t="n"/>
    </row>
    <row r="180">
      <c r="B180" s="8" t="n"/>
      <c r="C180" s="8" t="n"/>
      <c r="D180" s="8" t="n"/>
      <c r="E180" s="30" t="n"/>
      <c r="F180" s="12" t="n"/>
      <c r="G180" s="29">
        <f>IF(OR(E180="",F180=""),"",ROUND(E180*F180,2))</f>
        <v/>
      </c>
      <c r="H180" s="11" t="n"/>
      <c r="I180" s="10" t="n"/>
      <c r="J180" s="8" t="n"/>
    </row>
    <row r="181">
      <c r="B181" s="8" t="n"/>
      <c r="C181" s="8" t="n"/>
      <c r="D181" s="8" t="n"/>
      <c r="E181" s="30" t="n"/>
      <c r="F181" s="12" t="n"/>
      <c r="G181" s="29">
        <f>IF(OR(E181="",F181=""),"",ROUND(E181*F181,2))</f>
        <v/>
      </c>
      <c r="H181" s="11" t="n"/>
      <c r="I181" s="10" t="n"/>
      <c r="J181" s="8" t="n"/>
    </row>
    <row r="182">
      <c r="B182" s="8" t="n"/>
      <c r="C182" s="8" t="n"/>
      <c r="D182" s="8" t="n"/>
      <c r="E182" s="30" t="n"/>
      <c r="F182" s="12" t="n"/>
      <c r="G182" s="29">
        <f>IF(OR(E182="",F182=""),"",ROUND(E182*F182,2))</f>
        <v/>
      </c>
      <c r="H182" s="11" t="n"/>
      <c r="I182" s="10" t="n"/>
      <c r="J182" s="8" t="n"/>
    </row>
    <row r="183">
      <c r="B183" s="8" t="n"/>
      <c r="C183" s="8" t="n"/>
      <c r="D183" s="8" t="n"/>
      <c r="E183" s="30" t="n"/>
      <c r="F183" s="12" t="n"/>
      <c r="G183" s="29">
        <f>IF(OR(E183="",F183=""),"",ROUND(E183*F183,2))</f>
        <v/>
      </c>
      <c r="H183" s="11" t="n"/>
      <c r="I183" s="10" t="n"/>
      <c r="J183" s="8" t="n"/>
    </row>
    <row r="184">
      <c r="B184" s="8" t="n"/>
      <c r="C184" s="8" t="n"/>
      <c r="D184" s="8" t="n"/>
      <c r="E184" s="30" t="n"/>
      <c r="F184" s="12" t="n"/>
      <c r="G184" s="29">
        <f>IF(OR(E184="",F184=""),"",ROUND(E184*F184,2))</f>
        <v/>
      </c>
      <c r="H184" s="11" t="n"/>
      <c r="I184" s="10" t="n"/>
      <c r="J184" s="8" t="n"/>
    </row>
    <row r="185">
      <c r="B185" s="8" t="n"/>
      <c r="C185" s="8" t="n"/>
      <c r="D185" s="8" t="n"/>
      <c r="E185" s="30" t="n"/>
      <c r="F185" s="12" t="n"/>
      <c r="G185" s="29">
        <f>IF(OR(E185="",F185=""),"",ROUND(E185*F185,2))</f>
        <v/>
      </c>
      <c r="H185" s="11" t="n"/>
      <c r="I185" s="10" t="n"/>
      <c r="J185" s="8" t="n"/>
    </row>
    <row r="186">
      <c r="B186" s="8" t="n"/>
      <c r="C186" s="8" t="n"/>
      <c r="D186" s="8" t="n"/>
      <c r="E186" s="30" t="n"/>
      <c r="F186" s="12" t="n"/>
      <c r="G186" s="29">
        <f>IF(OR(E186="",F186=""),"",ROUND(E186*F186,2))</f>
        <v/>
      </c>
      <c r="H186" s="11" t="n"/>
      <c r="I186" s="10" t="n"/>
      <c r="J186" s="8" t="n"/>
    </row>
    <row r="187">
      <c r="B187" s="8" t="n"/>
      <c r="C187" s="8" t="n"/>
      <c r="D187" s="8" t="n"/>
      <c r="E187" s="30" t="n"/>
      <c r="F187" s="12" t="n"/>
      <c r="G187" s="29">
        <f>IF(OR(E187="",F187=""),"",ROUND(E187*F187,2))</f>
        <v/>
      </c>
      <c r="H187" s="11" t="n"/>
      <c r="I187" s="10" t="n"/>
      <c r="J187" s="8" t="n"/>
    </row>
    <row r="188">
      <c r="B188" s="8" t="n"/>
      <c r="C188" s="8" t="n"/>
      <c r="D188" s="8" t="n"/>
      <c r="E188" s="30" t="n"/>
      <c r="F188" s="12" t="n"/>
      <c r="G188" s="29">
        <f>IF(OR(E188="",F188=""),"",ROUND(E188*F188,2))</f>
        <v/>
      </c>
      <c r="H188" s="11" t="n"/>
      <c r="I188" s="10" t="n"/>
      <c r="J188" s="8" t="n"/>
    </row>
    <row r="189">
      <c r="B189" s="8" t="n"/>
      <c r="C189" s="8" t="n"/>
      <c r="D189" s="8" t="n"/>
      <c r="E189" s="30" t="n"/>
      <c r="F189" s="12" t="n"/>
      <c r="G189" s="29">
        <f>IF(OR(E189="",F189=""),"",ROUND(E189*F189,2))</f>
        <v/>
      </c>
      <c r="H189" s="11" t="n"/>
      <c r="I189" s="10" t="n"/>
      <c r="J189" s="8" t="n"/>
    </row>
    <row r="190">
      <c r="B190" s="8" t="n"/>
      <c r="C190" s="8" t="n"/>
      <c r="D190" s="8" t="n"/>
      <c r="E190" s="30" t="n"/>
      <c r="F190" s="12" t="n"/>
      <c r="G190" s="29">
        <f>IF(OR(E190="",F190=""),"",ROUND(E190*F190,2))</f>
        <v/>
      </c>
      <c r="H190" s="11" t="n"/>
      <c r="I190" s="10" t="n"/>
      <c r="J190" s="8" t="n"/>
    </row>
    <row r="191">
      <c r="B191" s="8" t="n"/>
      <c r="C191" s="8" t="n"/>
      <c r="D191" s="8" t="n"/>
      <c r="E191" s="30" t="n"/>
      <c r="F191" s="12" t="n"/>
      <c r="G191" s="29">
        <f>IF(OR(E191="",F191=""),"",ROUND(E191*F191,2))</f>
        <v/>
      </c>
      <c r="H191" s="11" t="n"/>
      <c r="I191" s="10" t="n"/>
      <c r="J191" s="8" t="n"/>
    </row>
    <row r="192">
      <c r="B192" s="8" t="n"/>
      <c r="C192" s="8" t="n"/>
      <c r="D192" s="8" t="n"/>
      <c r="E192" s="30" t="n"/>
      <c r="F192" s="12" t="n"/>
      <c r="G192" s="29">
        <f>IF(OR(E192="",F192=""),"",ROUND(E192*F192,2))</f>
        <v/>
      </c>
      <c r="H192" s="11" t="n"/>
      <c r="I192" s="10" t="n"/>
      <c r="J192" s="8" t="n"/>
    </row>
    <row r="193">
      <c r="B193" s="8" t="n"/>
      <c r="C193" s="8" t="n"/>
      <c r="D193" s="8" t="n"/>
      <c r="E193" s="30" t="n"/>
      <c r="F193" s="12" t="n"/>
      <c r="G193" s="29">
        <f>IF(OR(E193="",F193=""),"",ROUND(E193*F193,2))</f>
        <v/>
      </c>
      <c r="H193" s="11" t="n"/>
      <c r="I193" s="10" t="n"/>
      <c r="J193" s="8" t="n"/>
    </row>
    <row r="194">
      <c r="B194" s="8" t="n"/>
      <c r="C194" s="8" t="n"/>
      <c r="D194" s="8" t="n"/>
      <c r="E194" s="30" t="n"/>
      <c r="F194" s="12" t="n"/>
      <c r="G194" s="29">
        <f>IF(OR(E194="",F194=""),"",ROUND(E194*F194,2))</f>
        <v/>
      </c>
      <c r="H194" s="11" t="n"/>
      <c r="I194" s="10" t="n"/>
      <c r="J194" s="8" t="n"/>
    </row>
    <row r="195">
      <c r="B195" s="8" t="n"/>
      <c r="C195" s="8" t="n"/>
      <c r="D195" s="8" t="n"/>
      <c r="E195" s="30" t="n"/>
      <c r="F195" s="12" t="n"/>
      <c r="G195" s="29">
        <f>IF(OR(E195="",F195=""),"",ROUND(E195*F195,2))</f>
        <v/>
      </c>
      <c r="H195" s="11" t="n"/>
      <c r="I195" s="10" t="n"/>
      <c r="J195" s="8" t="n"/>
    </row>
    <row r="196">
      <c r="B196" s="8" t="n"/>
      <c r="C196" s="8" t="n"/>
      <c r="D196" s="8" t="n"/>
      <c r="E196" s="30" t="n"/>
      <c r="F196" s="12" t="n"/>
      <c r="G196" s="29">
        <f>IF(OR(E196="",F196=""),"",ROUND(E196*F196,2))</f>
        <v/>
      </c>
      <c r="H196" s="11" t="n"/>
      <c r="I196" s="10" t="n"/>
      <c r="J196" s="8" t="n"/>
    </row>
    <row r="197">
      <c r="B197" s="8" t="n"/>
      <c r="C197" s="8" t="n"/>
      <c r="D197" s="8" t="n"/>
      <c r="E197" s="30" t="n"/>
      <c r="F197" s="12" t="n"/>
      <c r="G197" s="29">
        <f>IF(OR(E197="",F197=""),"",ROUND(E197*F197,2))</f>
        <v/>
      </c>
      <c r="H197" s="11" t="n"/>
      <c r="I197" s="10" t="n"/>
      <c r="J197" s="8" t="n"/>
    </row>
    <row r="198">
      <c r="B198" s="8" t="n"/>
      <c r="C198" s="8" t="n"/>
      <c r="D198" s="8" t="n"/>
      <c r="E198" s="30" t="n"/>
      <c r="F198" s="12" t="n"/>
      <c r="G198" s="29">
        <f>IF(OR(E198="",F198=""),"",ROUND(E198*F198,2))</f>
        <v/>
      </c>
      <c r="H198" s="11" t="n"/>
      <c r="I198" s="10" t="n"/>
      <c r="J198" s="8" t="n"/>
    </row>
    <row r="199">
      <c r="B199" s="8" t="n"/>
      <c r="C199" s="8" t="n"/>
      <c r="D199" s="8" t="n"/>
      <c r="E199" s="30" t="n"/>
      <c r="F199" s="12" t="n"/>
      <c r="G199" s="29">
        <f>IF(OR(E199="",F199=""),"",ROUND(E199*F199,2))</f>
        <v/>
      </c>
      <c r="H199" s="11" t="n"/>
      <c r="I199" s="10" t="n"/>
      <c r="J199" s="8" t="n"/>
    </row>
    <row r="200">
      <c r="B200" s="8" t="n"/>
      <c r="C200" s="8" t="n"/>
      <c r="D200" s="8" t="n"/>
      <c r="E200" s="30" t="n"/>
      <c r="F200" s="12" t="n"/>
      <c r="G200" s="29">
        <f>IF(OR(E200="",F200=""),"",ROUND(E200*F200,2))</f>
        <v/>
      </c>
      <c r="H200" s="11" t="n"/>
      <c r="I200" s="10" t="n"/>
      <c r="J200" s="8" t="n"/>
    </row>
    <row r="201">
      <c r="B201" s="8" t="n"/>
      <c r="C201" s="8" t="n"/>
      <c r="D201" s="8" t="n"/>
      <c r="E201" s="30" t="n"/>
      <c r="F201" s="12" t="n"/>
      <c r="G201" s="29">
        <f>IF(OR(E201="",F201=""),"",ROUND(E201*F201,2))</f>
        <v/>
      </c>
      <c r="H201" s="11" t="n"/>
      <c r="I201" s="10" t="n"/>
      <c r="J201" s="8" t="n"/>
    </row>
    <row r="202">
      <c r="B202" s="8" t="n"/>
      <c r="C202" s="8" t="n"/>
      <c r="D202" s="8" t="n"/>
      <c r="E202" s="30" t="n"/>
      <c r="F202" s="12" t="n"/>
      <c r="G202" s="29">
        <f>IF(OR(E202="",F202=""),"",ROUND(E202*F202,2))</f>
        <v/>
      </c>
      <c r="H202" s="11" t="n"/>
      <c r="I202" s="10" t="n"/>
      <c r="J202" s="8" t="n"/>
    </row>
    <row r="203">
      <c r="B203" s="8" t="n"/>
      <c r="C203" s="8" t="n"/>
      <c r="D203" s="8" t="n"/>
      <c r="E203" s="30" t="n"/>
      <c r="F203" s="12" t="n"/>
      <c r="G203" s="29">
        <f>IF(OR(E203="",F203=""),"",ROUND(E203*F203,2))</f>
        <v/>
      </c>
      <c r="H203" s="11" t="n"/>
      <c r="I203" s="10" t="n"/>
      <c r="J203" s="8" t="n"/>
    </row>
    <row r="204">
      <c r="B204" s="8" t="n"/>
      <c r="C204" s="8" t="n"/>
      <c r="D204" s="8" t="n"/>
      <c r="E204" s="30" t="n"/>
      <c r="F204" s="12" t="n"/>
      <c r="G204" s="29">
        <f>IF(OR(E204="",F204=""),"",ROUND(E204*F204,2))</f>
        <v/>
      </c>
      <c r="H204" s="11" t="n"/>
      <c r="I204" s="10" t="n"/>
      <c r="J204" s="8" t="n"/>
    </row>
    <row r="205">
      <c r="B205" s="8" t="n"/>
      <c r="C205" s="8" t="n"/>
      <c r="D205" s="8" t="n"/>
      <c r="E205" s="30" t="n"/>
      <c r="F205" s="12" t="n"/>
      <c r="G205" s="29">
        <f>IF(OR(E205="",F205=""),"",ROUND(E205*F205,2))</f>
        <v/>
      </c>
      <c r="H205" s="11" t="n"/>
      <c r="I205" s="10" t="n"/>
      <c r="J205" s="8" t="n"/>
    </row>
    <row r="206">
      <c r="B206" s="8" t="n"/>
      <c r="C206" s="8" t="n"/>
      <c r="D206" s="8" t="n"/>
      <c r="E206" s="30" t="n"/>
      <c r="F206" s="12" t="n"/>
      <c r="G206" s="29">
        <f>IF(OR(E206="",F206=""),"",ROUND(E206*F206,2))</f>
        <v/>
      </c>
      <c r="H206" s="11" t="n"/>
      <c r="I206" s="10" t="n"/>
      <c r="J206" s="8" t="n"/>
    </row>
    <row r="207">
      <c r="B207" s="8" t="n"/>
      <c r="C207" s="8" t="n"/>
      <c r="D207" s="8" t="n"/>
      <c r="E207" s="30" t="n"/>
      <c r="F207" s="12" t="n"/>
      <c r="G207" s="29">
        <f>IF(OR(E207="",F207=""),"",ROUND(E207*F207,2))</f>
        <v/>
      </c>
      <c r="H207" s="11" t="n"/>
      <c r="I207" s="10" t="n"/>
      <c r="J207" s="8" t="n"/>
    </row>
    <row r="208">
      <c r="B208" s="8" t="n"/>
      <c r="C208" s="8" t="n"/>
      <c r="D208" s="8" t="n"/>
      <c r="E208" s="30" t="n"/>
      <c r="F208" s="12" t="n"/>
      <c r="G208" s="29">
        <f>IF(OR(E208="",F208=""),"",ROUND(E208*F208,2))</f>
        <v/>
      </c>
      <c r="H208" s="11" t="n"/>
      <c r="I208" s="10" t="n"/>
      <c r="J208" s="8" t="n"/>
    </row>
    <row r="209">
      <c r="B209" s="8" t="n"/>
      <c r="C209" s="8" t="n"/>
      <c r="D209" s="8" t="n"/>
      <c r="E209" s="30" t="n"/>
      <c r="F209" s="12" t="n"/>
      <c r="G209" s="29">
        <f>IF(OR(E209="",F209=""),"",ROUND(E209*F209,2))</f>
        <v/>
      </c>
      <c r="H209" s="11" t="n"/>
      <c r="I209" s="10" t="n"/>
      <c r="J209" s="8" t="n"/>
    </row>
    <row r="210">
      <c r="B210" s="8" t="n"/>
      <c r="C210" s="8" t="n"/>
      <c r="D210" s="8" t="n"/>
      <c r="E210" s="30" t="n"/>
      <c r="F210" s="12" t="n"/>
      <c r="G210" s="29">
        <f>IF(OR(E210="",F210=""),"",ROUND(E210*F210,2))</f>
        <v/>
      </c>
      <c r="H210" s="11" t="n"/>
      <c r="I210" s="10" t="n"/>
      <c r="J210" s="8" t="n"/>
    </row>
    <row r="211">
      <c r="B211" s="8" t="n"/>
      <c r="C211" s="8" t="n"/>
      <c r="D211" s="8" t="n"/>
      <c r="E211" s="30" t="n"/>
      <c r="F211" s="12" t="n"/>
      <c r="G211" s="29">
        <f>IF(OR(E211="",F211=""),"",ROUND(E211*F211,2))</f>
        <v/>
      </c>
      <c r="H211" s="11" t="n"/>
      <c r="I211" s="10" t="n"/>
      <c r="J211" s="8" t="n"/>
    </row>
    <row r="212">
      <c r="B212" s="8" t="n"/>
      <c r="C212" s="8" t="n"/>
      <c r="D212" s="8" t="n"/>
      <c r="E212" s="30" t="n"/>
      <c r="F212" s="12" t="n"/>
      <c r="G212" s="29">
        <f>IF(OR(E212="",F212=""),"",ROUND(E212*F212,2))</f>
        <v/>
      </c>
      <c r="H212" s="11" t="n"/>
      <c r="I212" s="10" t="n"/>
      <c r="J212" s="8" t="n"/>
    </row>
    <row r="213">
      <c r="B213" s="8" t="n"/>
      <c r="C213" s="8" t="n"/>
      <c r="D213" s="8" t="n"/>
      <c r="E213" s="30" t="n"/>
      <c r="F213" s="12" t="n"/>
      <c r="G213" s="29">
        <f>IF(OR(E213="",F213=""),"",ROUND(E213*F213,2))</f>
        <v/>
      </c>
      <c r="H213" s="11" t="n"/>
      <c r="I213" s="10" t="n"/>
      <c r="J213" s="8" t="n"/>
    </row>
    <row r="214">
      <c r="B214" s="8" t="n"/>
      <c r="C214" s="8" t="n"/>
      <c r="D214" s="8" t="n"/>
      <c r="E214" s="30" t="n"/>
      <c r="F214" s="12" t="n"/>
      <c r="G214" s="29">
        <f>IF(OR(E214="",F214=""),"",ROUND(E214*F214,2))</f>
        <v/>
      </c>
      <c r="H214" s="11" t="n"/>
      <c r="I214" s="10" t="n"/>
      <c r="J214" s="8" t="n"/>
    </row>
    <row r="215">
      <c r="B215" s="8" t="n"/>
      <c r="C215" s="8" t="n"/>
      <c r="D215" s="8" t="n"/>
      <c r="E215" s="30" t="n"/>
      <c r="F215" s="12" t="n"/>
      <c r="G215" s="29">
        <f>IF(OR(E215="",F215=""),"",ROUND(E215*F215,2))</f>
        <v/>
      </c>
      <c r="H215" s="11" t="n"/>
      <c r="I215" s="10" t="n"/>
      <c r="J215" s="8" t="n"/>
    </row>
    <row r="216">
      <c r="B216" s="8" t="n"/>
      <c r="C216" s="8" t="n"/>
      <c r="D216" s="8" t="n"/>
      <c r="E216" s="30" t="n"/>
      <c r="F216" s="12" t="n"/>
      <c r="G216" s="29">
        <f>IF(OR(E216="",F216=""),"",ROUND(E216*F216,2))</f>
        <v/>
      </c>
      <c r="H216" s="11" t="n"/>
      <c r="I216" s="10" t="n"/>
      <c r="J216" s="8" t="n"/>
    </row>
    <row r="217">
      <c r="B217" s="8" t="n"/>
      <c r="C217" s="8" t="n"/>
      <c r="D217" s="8" t="n"/>
      <c r="E217" s="30" t="n"/>
      <c r="F217" s="12" t="n"/>
      <c r="G217" s="29">
        <f>IF(OR(E217="",F217=""),"",ROUND(E217*F217,2))</f>
        <v/>
      </c>
      <c r="H217" s="11" t="n"/>
      <c r="I217" s="10" t="n"/>
      <c r="J217" s="8" t="n"/>
    </row>
    <row r="218">
      <c r="B218" s="8" t="n"/>
      <c r="C218" s="8" t="n"/>
      <c r="D218" s="8" t="n"/>
      <c r="E218" s="30" t="n"/>
      <c r="F218" s="12" t="n"/>
      <c r="G218" s="29">
        <f>IF(OR(E218="",F218=""),"",ROUND(E218*F218,2))</f>
        <v/>
      </c>
      <c r="H218" s="11" t="n"/>
      <c r="I218" s="10" t="n"/>
      <c r="J218" s="8" t="n"/>
    </row>
    <row r="219">
      <c r="B219" s="8" t="n"/>
      <c r="C219" s="8" t="n"/>
      <c r="D219" s="8" t="n"/>
      <c r="E219" s="30" t="n"/>
      <c r="F219" s="12" t="n"/>
      <c r="G219" s="29">
        <f>IF(OR(E219="",F219=""),"",ROUND(E219*F219,2))</f>
        <v/>
      </c>
      <c r="H219" s="11" t="n"/>
      <c r="I219" s="10" t="n"/>
      <c r="J219" s="8" t="n"/>
    </row>
    <row r="220">
      <c r="B220" s="8" t="n"/>
      <c r="C220" s="8" t="n"/>
      <c r="D220" s="8" t="n"/>
      <c r="E220" s="30" t="n"/>
      <c r="F220" s="12" t="n"/>
      <c r="G220" s="29">
        <f>IF(OR(E220="",F220=""),"",ROUND(E220*F220,2))</f>
        <v/>
      </c>
      <c r="H220" s="11" t="n"/>
      <c r="I220" s="10" t="n"/>
      <c r="J220" s="8" t="n"/>
    </row>
    <row r="221">
      <c r="B221" s="8" t="n"/>
      <c r="C221" s="8" t="n"/>
      <c r="D221" s="8" t="n"/>
      <c r="E221" s="30" t="n"/>
      <c r="F221" s="12" t="n"/>
      <c r="G221" s="29">
        <f>IF(OR(E221="",F221=""),"",ROUND(E221*F221,2))</f>
        <v/>
      </c>
      <c r="H221" s="11" t="n"/>
      <c r="I221" s="10" t="n"/>
      <c r="J221" s="8" t="n"/>
    </row>
    <row r="222">
      <c r="B222" s="8" t="n"/>
      <c r="C222" s="8" t="n"/>
      <c r="D222" s="8" t="n"/>
      <c r="E222" s="30" t="n"/>
      <c r="F222" s="12" t="n"/>
      <c r="G222" s="29">
        <f>IF(OR(E222="",F222=""),"",ROUND(E222*F222,2))</f>
        <v/>
      </c>
      <c r="H222" s="11" t="n"/>
      <c r="I222" s="10" t="n"/>
      <c r="J222" s="8" t="n"/>
    </row>
    <row r="223">
      <c r="B223" s="8" t="n"/>
      <c r="C223" s="8" t="n"/>
      <c r="D223" s="8" t="n"/>
      <c r="E223" s="30" t="n"/>
      <c r="F223" s="12" t="n"/>
      <c r="G223" s="29">
        <f>IF(OR(E223="",F223=""),"",ROUND(E223*F223,2))</f>
        <v/>
      </c>
      <c r="H223" s="11" t="n"/>
      <c r="I223" s="10" t="n"/>
      <c r="J223" s="8" t="n"/>
    </row>
    <row r="224">
      <c r="B224" s="8" t="n"/>
      <c r="C224" s="8" t="n"/>
      <c r="D224" s="8" t="n"/>
      <c r="E224" s="30" t="n"/>
      <c r="F224" s="12" t="n"/>
      <c r="G224" s="29">
        <f>IF(OR(E224="",F224=""),"",ROUND(E224*F224,2))</f>
        <v/>
      </c>
      <c r="H224" s="11" t="n"/>
      <c r="I224" s="10" t="n"/>
      <c r="J224" s="8" t="n"/>
    </row>
    <row r="225">
      <c r="B225" s="8" t="n"/>
      <c r="C225" s="8" t="n"/>
      <c r="D225" s="8" t="n"/>
      <c r="E225" s="30" t="n"/>
      <c r="F225" s="12" t="n"/>
      <c r="G225" s="29">
        <f>IF(OR(E225="",F225=""),"",ROUND(E225*F225,2))</f>
        <v/>
      </c>
      <c r="H225" s="11" t="n"/>
      <c r="I225" s="10" t="n"/>
      <c r="J225" s="8" t="n"/>
    </row>
    <row r="226">
      <c r="B226" s="8" t="n"/>
      <c r="C226" s="8" t="n"/>
      <c r="D226" s="8" t="n"/>
      <c r="E226" s="30" t="n"/>
      <c r="F226" s="12" t="n"/>
      <c r="G226" s="29">
        <f>IF(OR(E226="",F226=""),"",ROUND(E226*F226,2))</f>
        <v/>
      </c>
      <c r="H226" s="11" t="n"/>
      <c r="I226" s="10" t="n"/>
      <c r="J226" s="8" t="n"/>
    </row>
    <row r="227">
      <c r="B227" s="8" t="n"/>
      <c r="C227" s="8" t="n"/>
      <c r="D227" s="8" t="n"/>
      <c r="E227" s="30" t="n"/>
      <c r="F227" s="12" t="n"/>
      <c r="G227" s="29">
        <f>IF(OR(E227="",F227=""),"",ROUND(E227*F227,2))</f>
        <v/>
      </c>
      <c r="H227" s="11" t="n"/>
      <c r="I227" s="10" t="n"/>
      <c r="J227" s="8" t="n"/>
    </row>
    <row r="228">
      <c r="B228" s="8" t="n"/>
      <c r="C228" s="8" t="n"/>
      <c r="D228" s="8" t="n"/>
      <c r="E228" s="30" t="n"/>
      <c r="F228" s="12" t="n"/>
      <c r="G228" s="29">
        <f>IF(OR(E228="",F228=""),"",ROUND(E228*F228,2))</f>
        <v/>
      </c>
      <c r="H228" s="11" t="n"/>
      <c r="I228" s="10" t="n"/>
      <c r="J228" s="8" t="n"/>
    </row>
    <row r="229">
      <c r="B229" s="8" t="n"/>
      <c r="C229" s="8" t="n"/>
      <c r="D229" s="8" t="n"/>
      <c r="E229" s="30" t="n"/>
      <c r="F229" s="12" t="n"/>
      <c r="G229" s="29">
        <f>IF(OR(E229="",F229=""),"",ROUND(E229*F229,2))</f>
        <v/>
      </c>
      <c r="H229" s="11" t="n"/>
      <c r="I229" s="10" t="n"/>
      <c r="J229" s="8" t="n"/>
    </row>
    <row r="230">
      <c r="B230" s="8" t="n"/>
      <c r="C230" s="8" t="n"/>
      <c r="D230" s="8" t="n"/>
      <c r="E230" s="30" t="n"/>
      <c r="F230" s="12" t="n"/>
      <c r="G230" s="29">
        <f>IF(OR(E230="",F230=""),"",ROUND(E230*F230,2))</f>
        <v/>
      </c>
      <c r="H230" s="11" t="n"/>
      <c r="I230" s="10" t="n"/>
      <c r="J230" s="8" t="n"/>
    </row>
    <row r="231">
      <c r="B231" s="8" t="n"/>
      <c r="C231" s="8" t="n"/>
      <c r="D231" s="8" t="n"/>
      <c r="E231" s="30" t="n"/>
      <c r="F231" s="12" t="n"/>
      <c r="G231" s="29">
        <f>IF(OR(E231="",F231=""),"",ROUND(E231*F231,2))</f>
        <v/>
      </c>
      <c r="H231" s="11" t="n"/>
      <c r="I231" s="10" t="n"/>
      <c r="J231" s="8" t="n"/>
    </row>
    <row r="232">
      <c r="B232" s="8" t="n"/>
      <c r="C232" s="8" t="n"/>
      <c r="D232" s="8" t="n"/>
      <c r="E232" s="30" t="n"/>
      <c r="F232" s="12" t="n"/>
      <c r="G232" s="29">
        <f>IF(OR(E232="",F232=""),"",ROUND(E232*F232,2))</f>
        <v/>
      </c>
      <c r="H232" s="11" t="n"/>
      <c r="I232" s="10" t="n"/>
      <c r="J232" s="8" t="n"/>
    </row>
    <row r="233">
      <c r="B233" s="8" t="n"/>
      <c r="C233" s="8" t="n"/>
      <c r="D233" s="8" t="n"/>
      <c r="E233" s="30" t="n"/>
      <c r="F233" s="12" t="n"/>
      <c r="G233" s="29">
        <f>IF(OR(E233="",F233=""),"",ROUND(E233*F233,2))</f>
        <v/>
      </c>
      <c r="H233" s="11" t="n"/>
      <c r="I233" s="10" t="n"/>
      <c r="J233" s="8" t="n"/>
    </row>
    <row r="234">
      <c r="B234" s="8" t="n"/>
      <c r="C234" s="8" t="n"/>
      <c r="D234" s="8" t="n"/>
      <c r="E234" s="30" t="n"/>
      <c r="F234" s="12" t="n"/>
      <c r="G234" s="29">
        <f>IF(OR(E234="",F234=""),"",ROUND(E234*F234,2))</f>
        <v/>
      </c>
      <c r="H234" s="11" t="n"/>
      <c r="I234" s="10" t="n"/>
      <c r="J234" s="8" t="n"/>
    </row>
    <row r="235">
      <c r="B235" s="8" t="n"/>
      <c r="C235" s="8" t="n"/>
      <c r="D235" s="8" t="n"/>
      <c r="E235" s="30" t="n"/>
      <c r="F235" s="12" t="n"/>
      <c r="G235" s="29">
        <f>IF(OR(E235="",F235=""),"",ROUND(E235*F235,2))</f>
        <v/>
      </c>
      <c r="H235" s="11" t="n"/>
      <c r="I235" s="10" t="n"/>
      <c r="J235" s="8" t="n"/>
    </row>
    <row r="236">
      <c r="B236" s="8" t="n"/>
      <c r="C236" s="8" t="n"/>
      <c r="D236" s="8" t="n"/>
      <c r="E236" s="30" t="n"/>
      <c r="F236" s="12" t="n"/>
      <c r="G236" s="29">
        <f>IF(OR(E236="",F236=""),"",ROUND(E236*F236,2))</f>
        <v/>
      </c>
      <c r="H236" s="11" t="n"/>
      <c r="I236" s="10" t="n"/>
      <c r="J236" s="8" t="n"/>
    </row>
    <row r="237">
      <c r="B237" s="8" t="n"/>
      <c r="C237" s="8" t="n"/>
      <c r="D237" s="8" t="n"/>
      <c r="E237" s="30" t="n"/>
      <c r="F237" s="12" t="n"/>
      <c r="G237" s="29">
        <f>IF(OR(E237="",F237=""),"",ROUND(E237*F237,2))</f>
        <v/>
      </c>
      <c r="H237" s="11" t="n"/>
      <c r="I237" s="10" t="n"/>
      <c r="J237" s="8" t="n"/>
    </row>
    <row r="238">
      <c r="B238" s="8" t="n"/>
      <c r="C238" s="8" t="n"/>
      <c r="D238" s="8" t="n"/>
      <c r="E238" s="30" t="n"/>
      <c r="F238" s="12" t="n"/>
      <c r="G238" s="29">
        <f>IF(OR(E238="",F238=""),"",ROUND(E238*F238,2))</f>
        <v/>
      </c>
      <c r="H238" s="11" t="n"/>
      <c r="I238" s="10" t="n"/>
      <c r="J238" s="8" t="n"/>
    </row>
    <row r="239">
      <c r="B239" s="8" t="n"/>
      <c r="C239" s="8" t="n"/>
      <c r="D239" s="8" t="n"/>
      <c r="E239" s="30" t="n"/>
      <c r="F239" s="12" t="n"/>
      <c r="G239" s="29">
        <f>IF(OR(E239="",F239=""),"",ROUND(E239*F239,2))</f>
        <v/>
      </c>
      <c r="H239" s="11" t="n"/>
      <c r="I239" s="10" t="n"/>
      <c r="J239" s="8" t="n"/>
    </row>
    <row r="240">
      <c r="B240" s="8" t="n"/>
      <c r="C240" s="8" t="n"/>
      <c r="D240" s="8" t="n"/>
      <c r="E240" s="30" t="n"/>
      <c r="F240" s="12" t="n"/>
      <c r="G240" s="29">
        <f>IF(OR(E240="",F240=""),"",ROUND(E240*F240,2))</f>
        <v/>
      </c>
      <c r="H240" s="11" t="n"/>
      <c r="I240" s="10" t="n"/>
      <c r="J240" s="8" t="n"/>
    </row>
    <row r="241">
      <c r="B241" s="8" t="n"/>
      <c r="C241" s="8" t="n"/>
      <c r="D241" s="8" t="n"/>
      <c r="E241" s="30" t="n"/>
      <c r="F241" s="12" t="n"/>
      <c r="G241" s="29">
        <f>IF(OR(E241="",F241=""),"",ROUND(E241*F241,2))</f>
        <v/>
      </c>
      <c r="H241" s="11" t="n"/>
      <c r="I241" s="10" t="n"/>
      <c r="J241" s="8" t="n"/>
    </row>
    <row r="242">
      <c r="B242" s="8" t="n"/>
      <c r="C242" s="8" t="n"/>
      <c r="D242" s="8" t="n"/>
      <c r="E242" s="30" t="n"/>
      <c r="F242" s="12" t="n"/>
      <c r="G242" s="29">
        <f>IF(OR(E242="",F242=""),"",ROUND(E242*F242,2))</f>
        <v/>
      </c>
      <c r="H242" s="11" t="n"/>
      <c r="I242" s="10" t="n"/>
      <c r="J242" s="8" t="n"/>
    </row>
    <row r="243">
      <c r="B243" s="8" t="n"/>
      <c r="C243" s="8" t="n"/>
      <c r="D243" s="8" t="n"/>
      <c r="E243" s="30" t="n"/>
      <c r="F243" s="12" t="n"/>
      <c r="G243" s="29">
        <f>IF(OR(E243="",F243=""),"",ROUND(E243*F243,2))</f>
        <v/>
      </c>
      <c r="H243" s="11" t="n"/>
      <c r="I243" s="10" t="n"/>
      <c r="J243" s="8" t="n"/>
    </row>
    <row r="244">
      <c r="B244" s="8" t="n"/>
      <c r="C244" s="8" t="n"/>
      <c r="D244" s="8" t="n"/>
      <c r="E244" s="30" t="n"/>
      <c r="F244" s="12" t="n"/>
      <c r="G244" s="29">
        <f>IF(OR(E244="",F244=""),"",ROUND(E244*F244,2))</f>
        <v/>
      </c>
      <c r="H244" s="11" t="n"/>
      <c r="I244" s="10" t="n"/>
      <c r="J244" s="8" t="n"/>
    </row>
    <row r="245">
      <c r="B245" s="8" t="n"/>
      <c r="C245" s="8" t="n"/>
      <c r="D245" s="8" t="n"/>
      <c r="E245" s="30" t="n"/>
      <c r="F245" s="12" t="n"/>
      <c r="G245" s="29">
        <f>IF(OR(E245="",F245=""),"",ROUND(E245*F245,2))</f>
        <v/>
      </c>
      <c r="H245" s="11" t="n"/>
      <c r="I245" s="10" t="n"/>
      <c r="J245" s="8" t="n"/>
    </row>
    <row r="246">
      <c r="B246" s="8" t="n"/>
      <c r="C246" s="8" t="n"/>
      <c r="D246" s="8" t="n"/>
      <c r="E246" s="30" t="n"/>
      <c r="F246" s="12" t="n"/>
      <c r="G246" s="29">
        <f>IF(OR(E246="",F246=""),"",ROUND(E246*F246,2))</f>
        <v/>
      </c>
      <c r="H246" s="11" t="n"/>
      <c r="I246" s="10" t="n"/>
      <c r="J246" s="8" t="n"/>
    </row>
    <row r="247">
      <c r="B247" s="8" t="n"/>
      <c r="C247" s="8" t="n"/>
      <c r="D247" s="8" t="n"/>
      <c r="E247" s="30" t="n"/>
      <c r="F247" s="12" t="n"/>
      <c r="G247" s="29">
        <f>IF(OR(E247="",F247=""),"",ROUND(E247*F247,2))</f>
        <v/>
      </c>
      <c r="H247" s="11" t="n"/>
      <c r="I247" s="10" t="n"/>
      <c r="J247" s="8" t="n"/>
    </row>
    <row r="248">
      <c r="B248" s="8" t="n"/>
      <c r="C248" s="8" t="n"/>
      <c r="D248" s="8" t="n"/>
      <c r="E248" s="30" t="n"/>
      <c r="F248" s="12" t="n"/>
      <c r="G248" s="29">
        <f>IF(OR(E248="",F248=""),"",ROUND(E248*F248,2))</f>
        <v/>
      </c>
      <c r="H248" s="11" t="n"/>
      <c r="I248" s="10" t="n"/>
      <c r="J248" s="8" t="n"/>
    </row>
    <row r="249">
      <c r="B249" s="8" t="n"/>
      <c r="C249" s="8" t="n"/>
      <c r="D249" s="8" t="n"/>
      <c r="E249" s="30" t="n"/>
      <c r="F249" s="12" t="n"/>
      <c r="G249" s="29">
        <f>IF(OR(E249="",F249=""),"",ROUND(E249*F249,2))</f>
        <v/>
      </c>
      <c r="H249" s="11" t="n"/>
      <c r="I249" s="10" t="n"/>
      <c r="J249" s="8" t="n"/>
    </row>
    <row r="250">
      <c r="B250" s="8" t="n"/>
      <c r="C250" s="8" t="n"/>
      <c r="D250" s="8" t="n"/>
      <c r="E250" s="30" t="n"/>
      <c r="F250" s="12" t="n"/>
      <c r="G250" s="29">
        <f>IF(OR(E250="",F250=""),"",ROUND(E250*F250,2))</f>
        <v/>
      </c>
      <c r="H250" s="11" t="n"/>
      <c r="I250" s="10" t="n"/>
      <c r="J250" s="8" t="n"/>
    </row>
    <row r="251">
      <c r="B251" s="8" t="n"/>
      <c r="C251" s="8" t="n"/>
      <c r="D251" s="8" t="n"/>
      <c r="E251" s="30" t="n"/>
      <c r="F251" s="12" t="n"/>
      <c r="G251" s="29">
        <f>IF(OR(E251="",F251=""),"",ROUND(E251*F251,2))</f>
        <v/>
      </c>
      <c r="H251" s="11" t="n"/>
      <c r="I251" s="10" t="n"/>
      <c r="J251" s="8" t="n"/>
    </row>
    <row r="252">
      <c r="B252" s="8" t="n"/>
      <c r="C252" s="8" t="n"/>
      <c r="D252" s="8" t="n"/>
      <c r="E252" s="30" t="n"/>
      <c r="F252" s="12" t="n"/>
      <c r="G252" s="29">
        <f>IF(OR(E252="",F252=""),"",ROUND(E252*F252,2))</f>
        <v/>
      </c>
      <c r="H252" s="11" t="n"/>
      <c r="I252" s="10" t="n"/>
      <c r="J252" s="8" t="n"/>
    </row>
    <row r="253">
      <c r="B253" s="8" t="n"/>
      <c r="C253" s="8" t="n"/>
      <c r="D253" s="8" t="n"/>
      <c r="E253" s="30" t="n"/>
      <c r="F253" s="12" t="n"/>
      <c r="G253" s="29">
        <f>IF(OR(E253="",F253=""),"",ROUND(E253*F253,2))</f>
        <v/>
      </c>
      <c r="H253" s="11" t="n"/>
      <c r="I253" s="10" t="n"/>
      <c r="J253" s="8" t="n"/>
    </row>
    <row r="254">
      <c r="B254" s="8" t="n"/>
      <c r="C254" s="8" t="n"/>
      <c r="D254" s="8" t="n"/>
      <c r="E254" s="30" t="n"/>
      <c r="F254" s="12" t="n"/>
      <c r="G254" s="29">
        <f>IF(OR(E254="",F254=""),"",ROUND(E254*F254,2))</f>
        <v/>
      </c>
      <c r="H254" s="11" t="n"/>
      <c r="I254" s="10" t="n"/>
      <c r="J254" s="8" t="n"/>
    </row>
    <row r="255">
      <c r="B255" s="8" t="n"/>
      <c r="C255" s="8" t="n"/>
      <c r="D255" s="8" t="n"/>
      <c r="E255" s="30" t="n"/>
      <c r="F255" s="12" t="n"/>
      <c r="G255" s="29">
        <f>IF(OR(E255="",F255=""),"",ROUND(E255*F255,2))</f>
        <v/>
      </c>
      <c r="H255" s="11" t="n"/>
      <c r="I255" s="10" t="n"/>
      <c r="J255" s="8" t="n"/>
    </row>
    <row r="256">
      <c r="B256" s="8" t="n"/>
      <c r="C256" s="8" t="n"/>
      <c r="D256" s="8" t="n"/>
      <c r="E256" s="30" t="n"/>
      <c r="F256" s="12" t="n"/>
      <c r="G256" s="29">
        <f>IF(OR(E256="",F256=""),"",ROUND(E256*F256,2))</f>
        <v/>
      </c>
      <c r="H256" s="11" t="n"/>
      <c r="I256" s="10" t="n"/>
      <c r="J256" s="8" t="n"/>
    </row>
    <row r="257">
      <c r="B257" s="8" t="n"/>
      <c r="C257" s="8" t="n"/>
      <c r="D257" s="8" t="n"/>
      <c r="E257" s="30" t="n"/>
      <c r="F257" s="12" t="n"/>
      <c r="G257" s="29">
        <f>IF(OR(E257="",F257=""),"",ROUND(E257*F257,2))</f>
        <v/>
      </c>
      <c r="H257" s="11" t="n"/>
      <c r="I257" s="10" t="n"/>
      <c r="J257" s="8" t="n"/>
    </row>
    <row r="258">
      <c r="B258" s="8" t="n"/>
      <c r="C258" s="8" t="n"/>
      <c r="D258" s="8" t="n"/>
      <c r="E258" s="30" t="n"/>
      <c r="F258" s="12" t="n"/>
      <c r="G258" s="29">
        <f>IF(OR(E258="",F258=""),"",ROUND(E258*F258,2))</f>
        <v/>
      </c>
      <c r="H258" s="11" t="n"/>
      <c r="I258" s="10" t="n"/>
      <c r="J258" s="8" t="n"/>
    </row>
    <row r="259">
      <c r="B259" s="8" t="n"/>
      <c r="C259" s="8" t="n"/>
      <c r="D259" s="8" t="n"/>
      <c r="E259" s="30" t="n"/>
      <c r="F259" s="12" t="n"/>
      <c r="G259" s="29">
        <f>IF(OR(E259="",F259=""),"",ROUND(E259*F259,2))</f>
        <v/>
      </c>
      <c r="H259" s="11" t="n"/>
      <c r="I259" s="10" t="n"/>
      <c r="J259" s="8" t="n"/>
    </row>
    <row r="260">
      <c r="B260" s="8" t="n"/>
      <c r="C260" s="8" t="n"/>
      <c r="D260" s="8" t="n"/>
      <c r="E260" s="30" t="n"/>
      <c r="F260" s="12" t="n"/>
      <c r="G260" s="29">
        <f>IF(OR(E260="",F260=""),"",ROUND(E260*F260,2))</f>
        <v/>
      </c>
      <c r="H260" s="11" t="n"/>
      <c r="I260" s="10" t="n"/>
      <c r="J260" s="8" t="n"/>
    </row>
    <row r="261">
      <c r="B261" s="8" t="n"/>
      <c r="C261" s="8" t="n"/>
      <c r="D261" s="8" t="n"/>
      <c r="E261" s="30" t="n"/>
      <c r="F261" s="12" t="n"/>
      <c r="G261" s="29">
        <f>IF(OR(E261="",F261=""),"",ROUND(E261*F261,2))</f>
        <v/>
      </c>
      <c r="H261" s="11" t="n"/>
      <c r="I261" s="10" t="n"/>
      <c r="J261" s="8" t="n"/>
    </row>
    <row r="262">
      <c r="B262" s="8" t="n"/>
      <c r="C262" s="8" t="n"/>
      <c r="D262" s="8" t="n"/>
      <c r="E262" s="30" t="n"/>
      <c r="F262" s="12" t="n"/>
      <c r="G262" s="29">
        <f>IF(OR(E262="",F262=""),"",ROUND(E262*F262,2))</f>
        <v/>
      </c>
      <c r="H262" s="11" t="n"/>
      <c r="I262" s="10" t="n"/>
      <c r="J262" s="8" t="n"/>
    </row>
    <row r="263">
      <c r="B263" s="8" t="n"/>
      <c r="C263" s="8" t="n"/>
      <c r="D263" s="8" t="n"/>
      <c r="E263" s="30" t="n"/>
      <c r="F263" s="12" t="n"/>
      <c r="G263" s="29">
        <f>IF(OR(E263="",F263=""),"",ROUND(E263*F263,2))</f>
        <v/>
      </c>
      <c r="H263" s="11" t="n"/>
      <c r="I263" s="10" t="n"/>
      <c r="J263" s="8" t="n"/>
    </row>
    <row r="264">
      <c r="B264" s="8" t="n"/>
      <c r="C264" s="8" t="n"/>
      <c r="D264" s="8" t="n"/>
      <c r="E264" s="30" t="n"/>
      <c r="F264" s="12" t="n"/>
      <c r="G264" s="29">
        <f>IF(OR(E264="",F264=""),"",ROUND(E264*F264,2))</f>
        <v/>
      </c>
      <c r="H264" s="11" t="n"/>
      <c r="I264" s="10" t="n"/>
      <c r="J264" s="8" t="n"/>
    </row>
    <row r="265">
      <c r="B265" s="8" t="n"/>
      <c r="C265" s="8" t="n"/>
      <c r="D265" s="8" t="n"/>
      <c r="E265" s="30" t="n"/>
      <c r="F265" s="12" t="n"/>
      <c r="G265" s="29">
        <f>IF(OR(E265="",F265=""),"",ROUND(E265*F265,2))</f>
        <v/>
      </c>
      <c r="H265" s="11" t="n"/>
      <c r="I265" s="10" t="n"/>
      <c r="J265" s="8" t="n"/>
    </row>
    <row r="266">
      <c r="B266" s="8" t="n"/>
      <c r="C266" s="8" t="n"/>
      <c r="D266" s="8" t="n"/>
      <c r="E266" s="30" t="n"/>
      <c r="F266" s="12" t="n"/>
      <c r="G266" s="29">
        <f>IF(OR(E266="",F266=""),"",ROUND(E266*F266,2))</f>
        <v/>
      </c>
      <c r="H266" s="11" t="n"/>
      <c r="I266" s="10" t="n"/>
      <c r="J266" s="8" t="n"/>
    </row>
    <row r="267">
      <c r="B267" s="8" t="n"/>
      <c r="C267" s="8" t="n"/>
      <c r="D267" s="8" t="n"/>
      <c r="E267" s="30" t="n"/>
      <c r="F267" s="12" t="n"/>
      <c r="G267" s="29">
        <f>IF(OR(E267="",F267=""),"",ROUND(E267*F267,2))</f>
        <v/>
      </c>
      <c r="H267" s="11" t="n"/>
      <c r="I267" s="10" t="n"/>
      <c r="J267" s="8" t="n"/>
    </row>
    <row r="268">
      <c r="B268" s="8" t="n"/>
      <c r="C268" s="8" t="n"/>
      <c r="D268" s="8" t="n"/>
      <c r="E268" s="30" t="n"/>
      <c r="F268" s="12" t="n"/>
      <c r="G268" s="29">
        <f>IF(OR(E268="",F268=""),"",ROUND(E268*F268,2))</f>
        <v/>
      </c>
      <c r="H268" s="11" t="n"/>
      <c r="I268" s="10" t="n"/>
      <c r="J268" s="8" t="n"/>
    </row>
    <row r="269">
      <c r="B269" s="8" t="n"/>
      <c r="C269" s="8" t="n"/>
      <c r="D269" s="8" t="n"/>
      <c r="E269" s="30" t="n"/>
      <c r="F269" s="12" t="n"/>
      <c r="G269" s="29">
        <f>IF(OR(E269="",F269=""),"",ROUND(E269*F269,2))</f>
        <v/>
      </c>
      <c r="H269" s="11" t="n"/>
      <c r="I269" s="10" t="n"/>
      <c r="J269" s="8" t="n"/>
    </row>
    <row r="270">
      <c r="B270" s="8" t="n"/>
      <c r="C270" s="8" t="n"/>
      <c r="D270" s="8" t="n"/>
      <c r="E270" s="30" t="n"/>
      <c r="F270" s="12" t="n"/>
      <c r="G270" s="29">
        <f>IF(OR(E270="",F270=""),"",ROUND(E270*F270,2))</f>
        <v/>
      </c>
      <c r="H270" s="11" t="n"/>
      <c r="I270" s="10" t="n"/>
      <c r="J270" s="8" t="n"/>
    </row>
    <row r="271">
      <c r="B271" s="8" t="n"/>
      <c r="C271" s="8" t="n"/>
      <c r="D271" s="8" t="n"/>
      <c r="E271" s="30" t="n"/>
      <c r="F271" s="12" t="n"/>
      <c r="G271" s="29">
        <f>IF(OR(E271="",F271=""),"",ROUND(E271*F271,2))</f>
        <v/>
      </c>
      <c r="H271" s="11" t="n"/>
      <c r="I271" s="10" t="n"/>
      <c r="J271" s="8" t="n"/>
    </row>
    <row r="272">
      <c r="B272" s="8" t="n"/>
      <c r="C272" s="8" t="n"/>
      <c r="D272" s="8" t="n"/>
      <c r="E272" s="30" t="n"/>
      <c r="F272" s="12" t="n"/>
      <c r="G272" s="29">
        <f>IF(OR(E272="",F272=""),"",ROUND(E272*F272,2))</f>
        <v/>
      </c>
      <c r="H272" s="11" t="n"/>
      <c r="I272" s="10" t="n"/>
      <c r="J272" s="8" t="n"/>
    </row>
    <row r="273">
      <c r="B273" s="8" t="n"/>
      <c r="C273" s="8" t="n"/>
      <c r="D273" s="8" t="n"/>
      <c r="E273" s="30" t="n"/>
      <c r="F273" s="12" t="n"/>
      <c r="G273" s="29">
        <f>IF(OR(E273="",F273=""),"",ROUND(E273*F273,2))</f>
        <v/>
      </c>
      <c r="H273" s="11" t="n"/>
      <c r="I273" s="10" t="n"/>
      <c r="J273" s="8" t="n"/>
    </row>
    <row r="274">
      <c r="B274" s="8" t="n"/>
      <c r="C274" s="8" t="n"/>
      <c r="D274" s="8" t="n"/>
      <c r="E274" s="30" t="n"/>
      <c r="F274" s="12" t="n"/>
      <c r="G274" s="29">
        <f>IF(OR(E274="",F274=""),"",ROUND(E274*F274,2))</f>
        <v/>
      </c>
      <c r="H274" s="11" t="n"/>
      <c r="I274" s="10" t="n"/>
      <c r="J274" s="8" t="n"/>
    </row>
    <row r="275">
      <c r="B275" s="8" t="n"/>
      <c r="C275" s="8" t="n"/>
      <c r="D275" s="8" t="n"/>
      <c r="E275" s="30" t="n"/>
      <c r="F275" s="12" t="n"/>
      <c r="G275" s="29">
        <f>IF(OR(E275="",F275=""),"",ROUND(E275*F275,2))</f>
        <v/>
      </c>
      <c r="H275" s="11" t="n"/>
      <c r="I275" s="10" t="n"/>
      <c r="J275" s="8" t="n"/>
    </row>
    <row r="276">
      <c r="B276" s="8" t="n"/>
      <c r="C276" s="8" t="n"/>
      <c r="D276" s="8" t="n"/>
      <c r="E276" s="30" t="n"/>
      <c r="F276" s="12" t="n"/>
      <c r="G276" s="29">
        <f>IF(OR(E276="",F276=""),"",ROUND(E276*F276,2))</f>
        <v/>
      </c>
      <c r="H276" s="11" t="n"/>
      <c r="I276" s="10" t="n"/>
      <c r="J276" s="8" t="n"/>
    </row>
    <row r="277">
      <c r="B277" s="8" t="n"/>
      <c r="C277" s="8" t="n"/>
      <c r="D277" s="8" t="n"/>
      <c r="E277" s="30" t="n"/>
      <c r="F277" s="12" t="n"/>
      <c r="G277" s="29">
        <f>IF(OR(E277="",F277=""),"",ROUND(E277*F277,2))</f>
        <v/>
      </c>
      <c r="H277" s="11" t="n"/>
      <c r="I277" s="10" t="n"/>
      <c r="J277" s="8" t="n"/>
    </row>
    <row r="278">
      <c r="B278" s="8" t="n"/>
      <c r="C278" s="8" t="n"/>
      <c r="D278" s="8" t="n"/>
      <c r="E278" s="30" t="n"/>
      <c r="F278" s="12" t="n"/>
      <c r="G278" s="29">
        <f>IF(OR(E278="",F278=""),"",ROUND(E278*F278,2))</f>
        <v/>
      </c>
      <c r="H278" s="11" t="n"/>
      <c r="I278" s="10" t="n"/>
      <c r="J278" s="8" t="n"/>
    </row>
    <row r="279">
      <c r="B279" s="8" t="n"/>
      <c r="C279" s="8" t="n"/>
      <c r="D279" s="8" t="n"/>
      <c r="E279" s="30" t="n"/>
      <c r="F279" s="12" t="n"/>
      <c r="G279" s="29">
        <f>IF(OR(E279="",F279=""),"",ROUND(E279*F279,2))</f>
        <v/>
      </c>
      <c r="H279" s="11" t="n"/>
      <c r="I279" s="10" t="n"/>
      <c r="J279" s="8" t="n"/>
    </row>
    <row r="280">
      <c r="B280" s="8" t="n"/>
      <c r="C280" s="8" t="n"/>
      <c r="D280" s="8" t="n"/>
      <c r="E280" s="30" t="n"/>
      <c r="F280" s="12" t="n"/>
      <c r="G280" s="29">
        <f>IF(OR(E280="",F280=""),"",ROUND(E280*F280,2))</f>
        <v/>
      </c>
      <c r="H280" s="11" t="n"/>
      <c r="I280" s="10" t="n"/>
      <c r="J280" s="8" t="n"/>
    </row>
    <row r="281">
      <c r="B281" s="8" t="n"/>
      <c r="C281" s="8" t="n"/>
      <c r="D281" s="8" t="n"/>
      <c r="E281" s="30" t="n"/>
      <c r="F281" s="12" t="n"/>
      <c r="G281" s="29">
        <f>IF(OR(E281="",F281=""),"",ROUND(E281*F281,2))</f>
        <v/>
      </c>
      <c r="H281" s="11" t="n"/>
      <c r="I281" s="10" t="n"/>
      <c r="J281" s="8" t="n"/>
    </row>
    <row r="282">
      <c r="B282" s="8" t="n"/>
      <c r="C282" s="8" t="n"/>
      <c r="D282" s="8" t="n"/>
      <c r="E282" s="30" t="n"/>
      <c r="F282" s="12" t="n"/>
      <c r="G282" s="29">
        <f>IF(OR(E282="",F282=""),"",ROUND(E282*F282,2))</f>
        <v/>
      </c>
      <c r="H282" s="11" t="n"/>
      <c r="I282" s="10" t="n"/>
      <c r="J282" s="8" t="n"/>
    </row>
    <row r="283">
      <c r="B283" s="8" t="n"/>
      <c r="C283" s="8" t="n"/>
      <c r="D283" s="8" t="n"/>
      <c r="E283" s="30" t="n"/>
      <c r="F283" s="12" t="n"/>
      <c r="G283" s="29">
        <f>IF(OR(E283="",F283=""),"",ROUND(E283*F283,2))</f>
        <v/>
      </c>
      <c r="H283" s="11" t="n"/>
      <c r="I283" s="10" t="n"/>
      <c r="J283" s="8" t="n"/>
    </row>
    <row r="284">
      <c r="B284" s="8" t="n"/>
      <c r="C284" s="8" t="n"/>
      <c r="D284" s="8" t="n"/>
      <c r="E284" s="30" t="n"/>
      <c r="F284" s="12" t="n"/>
      <c r="G284" s="29">
        <f>IF(OR(E284="",F284=""),"",ROUND(E284*F284,2))</f>
        <v/>
      </c>
      <c r="H284" s="11" t="n"/>
      <c r="I284" s="10" t="n"/>
      <c r="J284" s="8" t="n"/>
    </row>
    <row r="285">
      <c r="B285" s="8" t="n"/>
      <c r="C285" s="8" t="n"/>
      <c r="D285" s="8" t="n"/>
      <c r="E285" s="30" t="n"/>
      <c r="F285" s="12" t="n"/>
      <c r="G285" s="29">
        <f>IF(OR(E285="",F285=""),"",ROUND(E285*F285,2))</f>
        <v/>
      </c>
      <c r="H285" s="11" t="n"/>
      <c r="I285" s="10" t="n"/>
      <c r="J285" s="8" t="n"/>
    </row>
    <row r="286">
      <c r="B286" s="8" t="n"/>
      <c r="C286" s="8" t="n"/>
      <c r="D286" s="8" t="n"/>
      <c r="E286" s="30" t="n"/>
      <c r="F286" s="12" t="n"/>
      <c r="G286" s="29">
        <f>IF(OR(E286="",F286=""),"",ROUND(E286*F286,2))</f>
        <v/>
      </c>
      <c r="H286" s="11" t="n"/>
      <c r="I286" s="10" t="n"/>
      <c r="J286" s="8" t="n"/>
    </row>
    <row r="287">
      <c r="B287" s="8" t="n"/>
      <c r="C287" s="8" t="n"/>
      <c r="D287" s="8" t="n"/>
      <c r="E287" s="30" t="n"/>
      <c r="F287" s="12" t="n"/>
      <c r="G287" s="29">
        <f>IF(OR(E287="",F287=""),"",ROUND(E287*F287,2))</f>
        <v/>
      </c>
      <c r="H287" s="11" t="n"/>
      <c r="I287" s="10" t="n"/>
      <c r="J287" s="8" t="n"/>
    </row>
    <row r="288">
      <c r="B288" s="8" t="n"/>
      <c r="C288" s="8" t="n"/>
      <c r="D288" s="8" t="n"/>
      <c r="E288" s="30" t="n"/>
      <c r="F288" s="12" t="n"/>
      <c r="G288" s="29">
        <f>IF(OR(E288="",F288=""),"",ROUND(E288*F288,2))</f>
        <v/>
      </c>
      <c r="H288" s="11" t="n"/>
      <c r="I288" s="10" t="n"/>
      <c r="J288" s="8" t="n"/>
    </row>
    <row r="289">
      <c r="B289" s="8" t="n"/>
      <c r="C289" s="8" t="n"/>
      <c r="D289" s="8" t="n"/>
      <c r="E289" s="30" t="n"/>
      <c r="F289" s="12" t="n"/>
      <c r="G289" s="29">
        <f>IF(OR(E289="",F289=""),"",ROUND(E289*F289,2))</f>
        <v/>
      </c>
      <c r="H289" s="11" t="n"/>
      <c r="I289" s="10" t="n"/>
      <c r="J289" s="8" t="n"/>
    </row>
    <row r="290">
      <c r="B290" s="8" t="n"/>
      <c r="C290" s="8" t="n"/>
      <c r="D290" s="8" t="n"/>
      <c r="E290" s="30" t="n"/>
      <c r="F290" s="12" t="n"/>
      <c r="G290" s="29">
        <f>IF(OR(E290="",F290=""),"",ROUND(E290*F290,2))</f>
        <v/>
      </c>
      <c r="H290" s="11" t="n"/>
      <c r="I290" s="10" t="n"/>
      <c r="J290" s="8" t="n"/>
    </row>
    <row r="291">
      <c r="B291" s="8" t="n"/>
      <c r="C291" s="8" t="n"/>
      <c r="D291" s="8" t="n"/>
      <c r="E291" s="30" t="n"/>
      <c r="F291" s="12" t="n"/>
      <c r="G291" s="29">
        <f>IF(OR(E291="",F291=""),"",ROUND(E291*F291,2))</f>
        <v/>
      </c>
      <c r="H291" s="11" t="n"/>
      <c r="I291" s="10" t="n"/>
      <c r="J291" s="8" t="n"/>
    </row>
    <row r="292">
      <c r="B292" s="8" t="n"/>
      <c r="C292" s="8" t="n"/>
      <c r="D292" s="8" t="n"/>
      <c r="E292" s="30" t="n"/>
      <c r="F292" s="12" t="n"/>
      <c r="G292" s="29">
        <f>IF(OR(E292="",F292=""),"",ROUND(E292*F292,2))</f>
        <v/>
      </c>
      <c r="H292" s="11" t="n"/>
      <c r="I292" s="10" t="n"/>
      <c r="J292" s="8" t="n"/>
    </row>
    <row r="293">
      <c r="B293" s="8" t="n"/>
      <c r="C293" s="8" t="n"/>
      <c r="D293" s="8" t="n"/>
      <c r="E293" s="30" t="n"/>
      <c r="F293" s="12" t="n"/>
      <c r="G293" s="29">
        <f>IF(OR(E293="",F293=""),"",ROUND(E293*F293,2))</f>
        <v/>
      </c>
      <c r="H293" s="11" t="n"/>
      <c r="I293" s="10" t="n"/>
      <c r="J293" s="8" t="n"/>
    </row>
    <row r="294">
      <c r="B294" s="8" t="n"/>
      <c r="C294" s="8" t="n"/>
      <c r="D294" s="8" t="n"/>
      <c r="E294" s="30" t="n"/>
      <c r="F294" s="12" t="n"/>
      <c r="G294" s="29">
        <f>IF(OR(E294="",F294=""),"",ROUND(E294*F294,2))</f>
        <v/>
      </c>
      <c r="H294" s="11" t="n"/>
      <c r="I294" s="10" t="n"/>
      <c r="J294" s="8" t="n"/>
    </row>
    <row r="295">
      <c r="B295" s="8" t="n"/>
      <c r="C295" s="8" t="n"/>
      <c r="D295" s="8" t="n"/>
      <c r="E295" s="30" t="n"/>
      <c r="F295" s="12" t="n"/>
      <c r="G295" s="29">
        <f>IF(OR(E295="",F295=""),"",ROUND(E295*F295,2))</f>
        <v/>
      </c>
      <c r="H295" s="11" t="n"/>
      <c r="I295" s="10" t="n"/>
      <c r="J295" s="8" t="n"/>
    </row>
    <row r="296">
      <c r="B296" s="8" t="n"/>
      <c r="C296" s="8" t="n"/>
      <c r="D296" s="8" t="n"/>
      <c r="E296" s="30" t="n"/>
      <c r="F296" s="12" t="n"/>
      <c r="G296" s="29">
        <f>IF(OR(E296="",F296=""),"",ROUND(E296*F296,2))</f>
        <v/>
      </c>
      <c r="H296" s="11" t="n"/>
      <c r="I296" s="10" t="n"/>
      <c r="J296" s="8" t="n"/>
    </row>
    <row r="297">
      <c r="B297" s="8" t="n"/>
      <c r="C297" s="8" t="n"/>
      <c r="D297" s="8" t="n"/>
      <c r="E297" s="30" t="n"/>
      <c r="F297" s="12" t="n"/>
      <c r="G297" s="29">
        <f>IF(OR(E297="",F297=""),"",ROUND(E297*F297,2))</f>
        <v/>
      </c>
      <c r="H297" s="11" t="n"/>
      <c r="I297" s="10" t="n"/>
      <c r="J297" s="8" t="n"/>
    </row>
    <row r="298">
      <c r="B298" s="8" t="n"/>
      <c r="C298" s="8" t="n"/>
      <c r="D298" s="8" t="n"/>
      <c r="E298" s="30" t="n"/>
      <c r="F298" s="12" t="n"/>
      <c r="G298" s="29">
        <f>IF(OR(E298="",F298=""),"",ROUND(E298*F298,2))</f>
        <v/>
      </c>
      <c r="H298" s="11" t="n"/>
      <c r="I298" s="10" t="n"/>
      <c r="J298" s="8" t="n"/>
    </row>
    <row r="299">
      <c r="B299" s="8" t="n"/>
      <c r="C299" s="8" t="n"/>
      <c r="D299" s="8" t="n"/>
      <c r="E299" s="30" t="n"/>
      <c r="F299" s="12" t="n"/>
      <c r="G299" s="29">
        <f>IF(OR(E299="",F299=""),"",ROUND(E299*F299,2))</f>
        <v/>
      </c>
      <c r="H299" s="11" t="n"/>
      <c r="I299" s="10" t="n"/>
      <c r="J299" s="8" t="n"/>
    </row>
    <row r="300">
      <c r="B300" s="8" t="n"/>
      <c r="C300" s="8" t="n"/>
      <c r="D300" s="8" t="n"/>
      <c r="E300" s="30" t="n"/>
      <c r="F300" s="12" t="n"/>
      <c r="G300" s="29">
        <f>IF(OR(E300="",F300=""),"",ROUND(E300*F300,2))</f>
        <v/>
      </c>
      <c r="H300" s="11" t="n"/>
      <c r="I300" s="10" t="n"/>
      <c r="J300" s="8" t="n"/>
    </row>
    <row r="301">
      <c r="B301" s="8" t="n"/>
      <c r="C301" s="8" t="n"/>
      <c r="D301" s="8" t="n"/>
      <c r="E301" s="30" t="n"/>
      <c r="F301" s="12" t="n"/>
      <c r="G301" s="29">
        <f>IF(OR(E301="",F301=""),"",ROUND(E301*F301,2))</f>
        <v/>
      </c>
      <c r="H301" s="11" t="n"/>
      <c r="I301" s="10" t="n"/>
      <c r="J301" s="8" t="n"/>
    </row>
    <row r="302">
      <c r="B302" s="8" t="n"/>
      <c r="C302" s="8" t="n"/>
      <c r="D302" s="8" t="n"/>
      <c r="E302" s="30" t="n"/>
      <c r="F302" s="12" t="n"/>
      <c r="G302" s="29">
        <f>IF(OR(E302="",F302=""),"",ROUND(E302*F302,2))</f>
        <v/>
      </c>
      <c r="H302" s="11" t="n"/>
      <c r="I302" s="10" t="n"/>
      <c r="J302" s="8" t="n"/>
    </row>
    <row r="303">
      <c r="B303" s="8" t="n"/>
      <c r="C303" s="8" t="n"/>
      <c r="D303" s="8" t="n"/>
      <c r="E303" s="30" t="n"/>
      <c r="F303" s="12" t="n"/>
      <c r="G303" s="29">
        <f>IF(OR(E303="",F303=""),"",ROUND(E303*F303,2))</f>
        <v/>
      </c>
      <c r="H303" s="11" t="n"/>
      <c r="I303" s="10" t="n"/>
      <c r="J303" s="8" t="n"/>
    </row>
    <row r="304">
      <c r="B304" s="8" t="n"/>
      <c r="C304" s="8" t="n"/>
      <c r="D304" s="8" t="n"/>
      <c r="E304" s="30" t="n"/>
      <c r="F304" s="12" t="n"/>
      <c r="G304" s="29">
        <f>IF(OR(E304="",F304=""),"",ROUND(E304*F304,2))</f>
        <v/>
      </c>
      <c r="H304" s="11" t="n"/>
      <c r="I304" s="10" t="n"/>
      <c r="J304" s="8" t="n"/>
    </row>
    <row r="305">
      <c r="B305" s="8" t="n"/>
      <c r="C305" s="8" t="n"/>
      <c r="D305" s="8" t="n"/>
      <c r="E305" s="30" t="n"/>
      <c r="F305" s="12" t="n"/>
      <c r="G305" s="29">
        <f>IF(OR(E305="",F305=""),"",ROUND(E305*F305,2))</f>
        <v/>
      </c>
      <c r="H305" s="11" t="n"/>
      <c r="I305" s="10" t="n"/>
      <c r="J305" s="8" t="n"/>
    </row>
    <row r="306">
      <c r="B306" s="8" t="n"/>
      <c r="C306" s="8" t="n"/>
      <c r="D306" s="8" t="n"/>
      <c r="E306" s="30" t="n"/>
      <c r="F306" s="12" t="n"/>
      <c r="G306" s="29">
        <f>IF(OR(E306="",F306=""),"",ROUND(E306*F306,2))</f>
        <v/>
      </c>
      <c r="H306" s="11" t="n"/>
      <c r="I306" s="10" t="n"/>
      <c r="J306" s="8" t="n"/>
    </row>
    <row r="307">
      <c r="B307" s="8" t="n"/>
      <c r="C307" s="8" t="n"/>
      <c r="D307" s="8" t="n"/>
      <c r="E307" s="30" t="n"/>
      <c r="F307" s="12" t="n"/>
      <c r="G307" s="29">
        <f>IF(OR(E307="",F307=""),"",ROUND(E307*F307,2))</f>
        <v/>
      </c>
      <c r="H307" s="11" t="n"/>
      <c r="I307" s="10" t="n"/>
      <c r="J307" s="8" t="n"/>
    </row>
    <row r="308">
      <c r="B308" s="8" t="n"/>
      <c r="C308" s="8" t="n"/>
      <c r="D308" s="8" t="n"/>
      <c r="E308" s="30" t="n"/>
      <c r="F308" s="12" t="n"/>
      <c r="G308" s="29">
        <f>IF(OR(E308="",F308=""),"",ROUND(E308*F308,2))</f>
        <v/>
      </c>
      <c r="H308" s="11" t="n"/>
      <c r="I308" s="10" t="n"/>
      <c r="J308" s="8" t="n"/>
    </row>
    <row r="309">
      <c r="B309" s="8" t="n"/>
      <c r="C309" s="8" t="n"/>
      <c r="D309" s="8" t="n"/>
      <c r="E309" s="30" t="n"/>
      <c r="F309" s="12" t="n"/>
      <c r="G309" s="29">
        <f>IF(OR(E309="",F309=""),"",ROUND(E309*F309,2))</f>
        <v/>
      </c>
      <c r="H309" s="11" t="n"/>
      <c r="I309" s="10" t="n"/>
      <c r="J309" s="8" t="n"/>
    </row>
    <row r="310">
      <c r="B310" s="8" t="n"/>
      <c r="C310" s="8" t="n"/>
      <c r="D310" s="8" t="n"/>
      <c r="E310" s="30" t="n"/>
      <c r="F310" s="12" t="n"/>
      <c r="G310" s="29">
        <f>IF(OR(E310="",F310=""),"",ROUND(E310*F310,2))</f>
        <v/>
      </c>
      <c r="H310" s="11" t="n"/>
      <c r="I310" s="10" t="n"/>
      <c r="J310" s="8" t="n"/>
    </row>
    <row r="311">
      <c r="B311" s="8" t="n"/>
      <c r="C311" s="8" t="n"/>
      <c r="D311" s="8" t="n"/>
      <c r="E311" s="30" t="n"/>
      <c r="F311" s="12" t="n"/>
      <c r="G311" s="29">
        <f>IF(OR(E311="",F311=""),"",ROUND(E311*F311,2))</f>
        <v/>
      </c>
      <c r="H311" s="11" t="n"/>
      <c r="I311" s="10" t="n"/>
      <c r="J311" s="8" t="n"/>
    </row>
    <row r="312">
      <c r="B312" s="8" t="n"/>
      <c r="C312" s="8" t="n"/>
      <c r="D312" s="8" t="n"/>
      <c r="E312" s="30" t="n"/>
      <c r="F312" s="12" t="n"/>
      <c r="G312" s="29">
        <f>IF(OR(E312="",F312=""),"",ROUND(E312*F312,2))</f>
        <v/>
      </c>
      <c r="H312" s="11" t="n"/>
      <c r="I312" s="10" t="n"/>
      <c r="J312" s="8" t="n"/>
    </row>
    <row r="313">
      <c r="B313" s="8" t="n"/>
      <c r="C313" s="8" t="n"/>
      <c r="D313" s="8" t="n"/>
      <c r="E313" s="30" t="n"/>
      <c r="F313" s="12" t="n"/>
      <c r="G313" s="29">
        <f>IF(OR(E313="",F313=""),"",ROUND(E313*F313,2))</f>
        <v/>
      </c>
      <c r="H313" s="11" t="n"/>
      <c r="I313" s="10" t="n"/>
      <c r="J313" s="8" t="n"/>
    </row>
    <row r="314">
      <c r="B314" s="8" t="n"/>
      <c r="C314" s="8" t="n"/>
      <c r="D314" s="8" t="n"/>
      <c r="E314" s="30" t="n"/>
      <c r="F314" s="12" t="n"/>
      <c r="G314" s="29">
        <f>IF(OR(E314="",F314=""),"",ROUND(E314*F314,2))</f>
        <v/>
      </c>
      <c r="H314" s="11" t="n"/>
      <c r="I314" s="10" t="n"/>
      <c r="J314" s="8" t="n"/>
    </row>
    <row r="315">
      <c r="B315" s="8" t="n"/>
      <c r="C315" s="8" t="n"/>
      <c r="D315" s="8" t="n"/>
      <c r="E315" s="30" t="n"/>
      <c r="F315" s="12" t="n"/>
      <c r="G315" s="29">
        <f>IF(OR(E315="",F315=""),"",ROUND(E315*F315,2))</f>
        <v/>
      </c>
      <c r="H315" s="11" t="n"/>
      <c r="I315" s="10" t="n"/>
      <c r="J315" s="8" t="n"/>
    </row>
    <row r="316">
      <c r="B316" s="8" t="n"/>
      <c r="C316" s="8" t="n"/>
      <c r="D316" s="8" t="n"/>
      <c r="E316" s="30" t="n"/>
      <c r="F316" s="12" t="n"/>
      <c r="G316" s="29">
        <f>IF(OR(E316="",F316=""),"",ROUND(E316*F316,2))</f>
        <v/>
      </c>
      <c r="H316" s="11" t="n"/>
      <c r="I316" s="10" t="n"/>
      <c r="J316" s="8" t="n"/>
    </row>
    <row r="317">
      <c r="B317" s="8" t="n"/>
      <c r="C317" s="8" t="n"/>
      <c r="D317" s="8" t="n"/>
      <c r="E317" s="30" t="n"/>
      <c r="F317" s="12" t="n"/>
      <c r="G317" s="29">
        <f>IF(OR(E317="",F317=""),"",ROUND(E317*F317,2))</f>
        <v/>
      </c>
      <c r="H317" s="11" t="n"/>
      <c r="I317" s="10" t="n"/>
      <c r="J317" s="8" t="n"/>
    </row>
    <row r="318">
      <c r="B318" s="8" t="n"/>
      <c r="C318" s="8" t="n"/>
      <c r="D318" s="8" t="n"/>
      <c r="E318" s="30" t="n"/>
      <c r="F318" s="12" t="n"/>
      <c r="G318" s="29">
        <f>IF(OR(E318="",F318=""),"",ROUND(E318*F318,2))</f>
        <v/>
      </c>
      <c r="H318" s="11" t="n"/>
      <c r="I318" s="10" t="n"/>
      <c r="J318" s="8" t="n"/>
    </row>
    <row r="319">
      <c r="B319" s="8" t="n"/>
      <c r="C319" s="8" t="n"/>
      <c r="D319" s="8" t="n"/>
      <c r="E319" s="30" t="n"/>
      <c r="F319" s="12" t="n"/>
      <c r="G319" s="29">
        <f>IF(OR(E319="",F319=""),"",ROUND(E319*F319,2))</f>
        <v/>
      </c>
      <c r="H319" s="11" t="n"/>
      <c r="I319" s="10" t="n"/>
      <c r="J319" s="8" t="n"/>
    </row>
    <row r="320">
      <c r="B320" s="8" t="n"/>
      <c r="C320" s="8" t="n"/>
      <c r="D320" s="8" t="n"/>
      <c r="E320" s="30" t="n"/>
      <c r="F320" s="12" t="n"/>
      <c r="G320" s="29">
        <f>IF(OR(E320="",F320=""),"",ROUND(E320*F320,2))</f>
        <v/>
      </c>
      <c r="H320" s="11" t="n"/>
      <c r="I320" s="10" t="n"/>
      <c r="J320" s="8" t="n"/>
    </row>
    <row r="321">
      <c r="B321" s="8" t="n"/>
      <c r="C321" s="8" t="n"/>
      <c r="D321" s="8" t="n"/>
      <c r="E321" s="30" t="n"/>
      <c r="F321" s="12" t="n"/>
      <c r="G321" s="29">
        <f>IF(OR(E321="",F321=""),"",ROUND(E321*F321,2))</f>
        <v/>
      </c>
      <c r="H321" s="11" t="n"/>
      <c r="I321" s="10" t="n"/>
      <c r="J321" s="8" t="n"/>
    </row>
    <row r="322">
      <c r="B322" s="8" t="n"/>
      <c r="C322" s="8" t="n"/>
      <c r="D322" s="8" t="n"/>
      <c r="E322" s="30" t="n"/>
      <c r="F322" s="12" t="n"/>
      <c r="G322" s="29">
        <f>IF(OR(E322="",F322=""),"",ROUND(E322*F322,2))</f>
        <v/>
      </c>
      <c r="H322" s="11" t="n"/>
      <c r="I322" s="10" t="n"/>
      <c r="J322" s="8" t="n"/>
    </row>
    <row r="323">
      <c r="B323" s="8" t="n"/>
      <c r="C323" s="8" t="n"/>
      <c r="D323" s="8" t="n"/>
      <c r="E323" s="30" t="n"/>
      <c r="F323" s="12" t="n"/>
      <c r="G323" s="29">
        <f>IF(OR(E323="",F323=""),"",ROUND(E323*F323,2))</f>
        <v/>
      </c>
      <c r="H323" s="11" t="n"/>
      <c r="I323" s="10" t="n"/>
      <c r="J323" s="8" t="n"/>
    </row>
    <row r="324">
      <c r="B324" s="8" t="n"/>
      <c r="C324" s="8" t="n"/>
      <c r="D324" s="8" t="n"/>
      <c r="E324" s="30" t="n"/>
      <c r="F324" s="12" t="n"/>
      <c r="G324" s="29">
        <f>IF(OR(E324="",F324=""),"",ROUND(E324*F324,2))</f>
        <v/>
      </c>
      <c r="H324" s="11" t="n"/>
      <c r="I324" s="10" t="n"/>
      <c r="J324" s="8" t="n"/>
    </row>
    <row r="325">
      <c r="B325" s="8" t="n"/>
      <c r="C325" s="8" t="n"/>
      <c r="D325" s="8" t="n"/>
      <c r="E325" s="30" t="n"/>
      <c r="F325" s="12" t="n"/>
      <c r="G325" s="29">
        <f>IF(OR(E325="",F325=""),"",ROUND(E325*F325,2))</f>
        <v/>
      </c>
      <c r="H325" s="11" t="n"/>
      <c r="I325" s="10" t="n"/>
      <c r="J325" s="8" t="n"/>
    </row>
    <row r="326">
      <c r="B326" s="8" t="n"/>
      <c r="C326" s="8" t="n"/>
      <c r="D326" s="8" t="n"/>
      <c r="E326" s="30" t="n"/>
      <c r="F326" s="12" t="n"/>
      <c r="G326" s="29">
        <f>IF(OR(E326="",F326=""),"",ROUND(E326*F326,2))</f>
        <v/>
      </c>
      <c r="H326" s="11" t="n"/>
      <c r="I326" s="10" t="n"/>
      <c r="J326" s="8" t="n"/>
    </row>
    <row r="327">
      <c r="B327" s="8" t="n"/>
      <c r="C327" s="8" t="n"/>
      <c r="D327" s="8" t="n"/>
      <c r="E327" s="30" t="n"/>
      <c r="F327" s="12" t="n"/>
      <c r="G327" s="29">
        <f>IF(OR(E327="",F327=""),"",ROUND(E327*F327,2))</f>
        <v/>
      </c>
      <c r="H327" s="11" t="n"/>
      <c r="I327" s="10" t="n"/>
      <c r="J327" s="8" t="n"/>
    </row>
    <row r="328">
      <c r="B328" s="8" t="n"/>
      <c r="C328" s="8" t="n"/>
      <c r="D328" s="8" t="n"/>
      <c r="E328" s="30" t="n"/>
      <c r="F328" s="12" t="n"/>
      <c r="G328" s="29">
        <f>IF(OR(E328="",F328=""),"",ROUND(E328*F328,2))</f>
        <v/>
      </c>
      <c r="H328" s="11" t="n"/>
      <c r="I328" s="10" t="n"/>
      <c r="J328" s="8" t="n"/>
    </row>
    <row r="329">
      <c r="B329" s="8" t="n"/>
      <c r="C329" s="8" t="n"/>
      <c r="D329" s="8" t="n"/>
      <c r="E329" s="30" t="n"/>
      <c r="F329" s="12" t="n"/>
      <c r="G329" s="29">
        <f>IF(OR(E329="",F329=""),"",ROUND(E329*F329,2))</f>
        <v/>
      </c>
      <c r="H329" s="11" t="n"/>
      <c r="I329" s="10" t="n"/>
      <c r="J329" s="8" t="n"/>
    </row>
    <row r="330">
      <c r="B330" s="8" t="n"/>
      <c r="C330" s="8" t="n"/>
      <c r="D330" s="8" t="n"/>
      <c r="E330" s="30" t="n"/>
      <c r="F330" s="12" t="n"/>
      <c r="G330" s="29">
        <f>IF(OR(E330="",F330=""),"",ROUND(E330*F330,2))</f>
        <v/>
      </c>
      <c r="H330" s="11" t="n"/>
      <c r="I330" s="10" t="n"/>
      <c r="J330" s="8" t="n"/>
    </row>
    <row r="331">
      <c r="B331" s="8" t="n"/>
      <c r="C331" s="8" t="n"/>
      <c r="D331" s="8" t="n"/>
      <c r="E331" s="30" t="n"/>
      <c r="F331" s="12" t="n"/>
      <c r="G331" s="29">
        <f>IF(OR(E331="",F331=""),"",ROUND(E331*F331,2))</f>
        <v/>
      </c>
      <c r="H331" s="11" t="n"/>
      <c r="I331" s="10" t="n"/>
      <c r="J331" s="8" t="n"/>
    </row>
    <row r="332">
      <c r="B332" s="8" t="n"/>
      <c r="C332" s="8" t="n"/>
      <c r="D332" s="8" t="n"/>
      <c r="E332" s="30" t="n"/>
      <c r="F332" s="12" t="n"/>
      <c r="G332" s="29">
        <f>IF(OR(E332="",F332=""),"",ROUND(E332*F332,2))</f>
        <v/>
      </c>
      <c r="H332" s="11" t="n"/>
      <c r="I332" s="10" t="n"/>
      <c r="J332" s="8" t="n"/>
    </row>
    <row r="333">
      <c r="B333" s="8" t="n"/>
      <c r="C333" s="8" t="n"/>
      <c r="D333" s="8" t="n"/>
      <c r="E333" s="30" t="n"/>
      <c r="F333" s="12" t="n"/>
      <c r="G333" s="29">
        <f>IF(OR(E333="",F333=""),"",ROUND(E333*F333,2))</f>
        <v/>
      </c>
      <c r="H333" s="11" t="n"/>
      <c r="I333" s="10" t="n"/>
      <c r="J333" s="8" t="n"/>
    </row>
    <row r="334">
      <c r="B334" s="8" t="n"/>
      <c r="C334" s="8" t="n"/>
      <c r="D334" s="8" t="n"/>
      <c r="E334" s="30" t="n"/>
      <c r="F334" s="12" t="n"/>
      <c r="G334" s="29">
        <f>IF(OR(E334="",F334=""),"",ROUND(E334*F334,2))</f>
        <v/>
      </c>
      <c r="H334" s="11" t="n"/>
      <c r="I334" s="10" t="n"/>
      <c r="J334" s="8" t="n"/>
    </row>
    <row r="335">
      <c r="B335" s="8" t="n"/>
      <c r="C335" s="8" t="n"/>
      <c r="D335" s="8" t="n"/>
      <c r="E335" s="30" t="n"/>
      <c r="F335" s="12" t="n"/>
      <c r="G335" s="29">
        <f>IF(OR(E335="",F335=""),"",ROUND(E335*F335,2))</f>
        <v/>
      </c>
      <c r="H335" s="11" t="n"/>
      <c r="I335" s="10" t="n"/>
      <c r="J335" s="8" t="n"/>
    </row>
    <row r="336">
      <c r="B336" s="8" t="n"/>
      <c r="C336" s="8" t="n"/>
      <c r="D336" s="8" t="n"/>
      <c r="E336" s="30" t="n"/>
      <c r="F336" s="12" t="n"/>
      <c r="G336" s="29">
        <f>IF(OR(E336="",F336=""),"",ROUND(E336*F336,2))</f>
        <v/>
      </c>
      <c r="H336" s="11" t="n"/>
      <c r="I336" s="10" t="n"/>
      <c r="J336" s="8" t="n"/>
    </row>
    <row r="337">
      <c r="B337" s="8" t="n"/>
      <c r="C337" s="8" t="n"/>
      <c r="D337" s="8" t="n"/>
      <c r="E337" s="30" t="n"/>
      <c r="F337" s="12" t="n"/>
      <c r="G337" s="29">
        <f>IF(OR(E337="",F337=""),"",ROUND(E337*F337,2))</f>
        <v/>
      </c>
      <c r="H337" s="11" t="n"/>
      <c r="I337" s="10" t="n"/>
      <c r="J337" s="8" t="n"/>
    </row>
    <row r="338">
      <c r="B338" s="8" t="n"/>
      <c r="C338" s="8" t="n"/>
      <c r="D338" s="8" t="n"/>
      <c r="E338" s="30" t="n"/>
      <c r="F338" s="12" t="n"/>
      <c r="G338" s="29">
        <f>IF(OR(E338="",F338=""),"",ROUND(E338*F338,2))</f>
        <v/>
      </c>
      <c r="H338" s="11" t="n"/>
      <c r="I338" s="10" t="n"/>
      <c r="J338" s="8" t="n"/>
    </row>
    <row r="339">
      <c r="B339" s="8" t="n"/>
      <c r="C339" s="8" t="n"/>
      <c r="D339" s="8" t="n"/>
      <c r="E339" s="30" t="n"/>
      <c r="F339" s="12" t="n"/>
      <c r="G339" s="29">
        <f>IF(OR(E339="",F339=""),"",ROUND(E339*F339,2))</f>
        <v/>
      </c>
      <c r="H339" s="11" t="n"/>
      <c r="I339" s="10" t="n"/>
      <c r="J339" s="8" t="n"/>
    </row>
    <row r="340">
      <c r="B340" s="8" t="n"/>
      <c r="C340" s="8" t="n"/>
      <c r="D340" s="8" t="n"/>
      <c r="E340" s="30" t="n"/>
      <c r="F340" s="12" t="n"/>
      <c r="G340" s="29">
        <f>IF(OR(E340="",F340=""),"",ROUND(E340*F340,2))</f>
        <v/>
      </c>
      <c r="H340" s="11" t="n"/>
      <c r="I340" s="10" t="n"/>
      <c r="J340" s="8" t="n"/>
    </row>
    <row r="341">
      <c r="B341" s="8" t="n"/>
      <c r="C341" s="8" t="n"/>
      <c r="D341" s="8" t="n"/>
      <c r="E341" s="30" t="n"/>
      <c r="F341" s="12" t="n"/>
      <c r="G341" s="29">
        <f>IF(OR(E341="",F341=""),"",ROUND(E341*F341,2))</f>
        <v/>
      </c>
      <c r="H341" s="11" t="n"/>
      <c r="I341" s="10" t="n"/>
      <c r="J341" s="8" t="n"/>
    </row>
    <row r="342">
      <c r="B342" s="8" t="n"/>
      <c r="C342" s="8" t="n"/>
      <c r="D342" s="8" t="n"/>
      <c r="E342" s="30" t="n"/>
      <c r="F342" s="12" t="n"/>
      <c r="G342" s="29">
        <f>IF(OR(E342="",F342=""),"",ROUND(E342*F342,2))</f>
        <v/>
      </c>
      <c r="H342" s="11" t="n"/>
      <c r="I342" s="10" t="n"/>
      <c r="J342" s="8" t="n"/>
    </row>
    <row r="343">
      <c r="B343" s="8" t="n"/>
      <c r="C343" s="8" t="n"/>
      <c r="D343" s="8" t="n"/>
      <c r="E343" s="30" t="n"/>
      <c r="F343" s="12" t="n"/>
      <c r="G343" s="29">
        <f>IF(OR(E343="",F343=""),"",ROUND(E343*F343,2))</f>
        <v/>
      </c>
      <c r="H343" s="11" t="n"/>
      <c r="I343" s="10" t="n"/>
      <c r="J343" s="8" t="n"/>
    </row>
    <row r="344">
      <c r="B344" s="8" t="n"/>
      <c r="C344" s="8" t="n"/>
      <c r="D344" s="8" t="n"/>
      <c r="E344" s="30" t="n"/>
      <c r="F344" s="12" t="n"/>
      <c r="G344" s="29">
        <f>IF(OR(E344="",F344=""),"",ROUND(E344*F344,2))</f>
        <v/>
      </c>
      <c r="H344" s="11" t="n"/>
      <c r="I344" s="10" t="n"/>
      <c r="J344" s="8" t="n"/>
    </row>
    <row r="345">
      <c r="B345" s="8" t="n"/>
      <c r="C345" s="8" t="n"/>
      <c r="D345" s="8" t="n"/>
      <c r="E345" s="30" t="n"/>
      <c r="F345" s="12" t="n"/>
      <c r="G345" s="29">
        <f>IF(OR(E345="",F345=""),"",ROUND(E345*F345,2))</f>
        <v/>
      </c>
      <c r="H345" s="11" t="n"/>
      <c r="I345" s="10" t="n"/>
      <c r="J345" s="8" t="n"/>
    </row>
    <row r="346">
      <c r="B346" s="8" t="n"/>
      <c r="C346" s="8" t="n"/>
      <c r="D346" s="8" t="n"/>
      <c r="E346" s="30" t="n"/>
      <c r="F346" s="12" t="n"/>
      <c r="G346" s="29">
        <f>IF(OR(E346="",F346=""),"",ROUND(E346*F346,2))</f>
        <v/>
      </c>
      <c r="H346" s="11" t="n"/>
      <c r="I346" s="10" t="n"/>
      <c r="J346" s="8" t="n"/>
    </row>
    <row r="347">
      <c r="B347" s="8" t="n"/>
      <c r="C347" s="8" t="n"/>
      <c r="D347" s="8" t="n"/>
      <c r="E347" s="30" t="n"/>
      <c r="F347" s="12" t="n"/>
      <c r="G347" s="29">
        <f>IF(OR(E347="",F347=""),"",ROUND(E347*F347,2))</f>
        <v/>
      </c>
      <c r="H347" s="11" t="n"/>
      <c r="I347" s="10" t="n"/>
      <c r="J347" s="8" t="n"/>
    </row>
    <row r="348">
      <c r="B348" s="8" t="n"/>
      <c r="C348" s="8" t="n"/>
      <c r="D348" s="8" t="n"/>
      <c r="E348" s="30" t="n"/>
      <c r="F348" s="12" t="n"/>
      <c r="G348" s="29">
        <f>IF(OR(E348="",F348=""),"",ROUND(E348*F348,2))</f>
        <v/>
      </c>
      <c r="H348" s="11" t="n"/>
      <c r="I348" s="10" t="n"/>
      <c r="J348" s="8" t="n"/>
    </row>
    <row r="349">
      <c r="B349" s="8" t="n"/>
      <c r="C349" s="8" t="n"/>
      <c r="D349" s="8" t="n"/>
      <c r="E349" s="30" t="n"/>
      <c r="F349" s="12" t="n"/>
      <c r="G349" s="29">
        <f>IF(OR(E349="",F349=""),"",ROUND(E349*F349,2))</f>
        <v/>
      </c>
      <c r="H349" s="11" t="n"/>
      <c r="I349" s="10" t="n"/>
      <c r="J349" s="8" t="n"/>
    </row>
    <row r="350">
      <c r="B350" s="8" t="n"/>
      <c r="C350" s="8" t="n"/>
      <c r="D350" s="8" t="n"/>
      <c r="E350" s="30" t="n"/>
      <c r="F350" s="12" t="n"/>
      <c r="G350" s="29">
        <f>IF(OR(E350="",F350=""),"",ROUND(E350*F350,2))</f>
        <v/>
      </c>
      <c r="H350" s="11" t="n"/>
      <c r="I350" s="10" t="n"/>
      <c r="J350" s="8" t="n"/>
    </row>
    <row r="351">
      <c r="B351" s="8" t="n"/>
      <c r="C351" s="8" t="n"/>
      <c r="D351" s="8" t="n"/>
      <c r="E351" s="30" t="n"/>
      <c r="F351" s="12" t="n"/>
      <c r="G351" s="29">
        <f>IF(OR(E351="",F351=""),"",ROUND(E351*F351,2))</f>
        <v/>
      </c>
      <c r="H351" s="11" t="n"/>
      <c r="I351" s="10" t="n"/>
      <c r="J351" s="8" t="n"/>
    </row>
    <row r="352">
      <c r="B352" s="8" t="n"/>
      <c r="C352" s="8" t="n"/>
      <c r="D352" s="8" t="n"/>
      <c r="E352" s="30" t="n"/>
      <c r="F352" s="12" t="n"/>
      <c r="G352" s="29">
        <f>IF(OR(E352="",F352=""),"",ROUND(E352*F352,2))</f>
        <v/>
      </c>
      <c r="H352" s="11" t="n"/>
      <c r="I352" s="10" t="n"/>
      <c r="J352" s="8" t="n"/>
    </row>
    <row r="353">
      <c r="B353" s="8" t="n"/>
      <c r="C353" s="8" t="n"/>
      <c r="D353" s="8" t="n"/>
      <c r="E353" s="30" t="n"/>
      <c r="F353" s="12" t="n"/>
      <c r="G353" s="29">
        <f>IF(OR(E353="",F353=""),"",ROUND(E353*F353,2))</f>
        <v/>
      </c>
      <c r="H353" s="11" t="n"/>
      <c r="I353" s="10" t="n"/>
      <c r="J353" s="8" t="n"/>
    </row>
    <row r="354">
      <c r="B354" s="8" t="n"/>
      <c r="C354" s="8" t="n"/>
      <c r="D354" s="8" t="n"/>
      <c r="E354" s="30" t="n"/>
      <c r="F354" s="12" t="n"/>
      <c r="G354" s="29">
        <f>IF(OR(E354="",F354=""),"",ROUND(E354*F354,2))</f>
        <v/>
      </c>
      <c r="H354" s="11" t="n"/>
      <c r="I354" s="10" t="n"/>
      <c r="J354" s="8" t="n"/>
    </row>
    <row r="355">
      <c r="B355" s="8" t="n"/>
      <c r="C355" s="8" t="n"/>
      <c r="D355" s="8" t="n"/>
      <c r="E355" s="30" t="n"/>
      <c r="F355" s="12" t="n"/>
      <c r="G355" s="29">
        <f>IF(OR(E355="",F355=""),"",ROUND(E355*F355,2))</f>
        <v/>
      </c>
      <c r="H355" s="11" t="n"/>
      <c r="I355" s="10" t="n"/>
      <c r="J355" s="8" t="n"/>
    </row>
    <row r="356">
      <c r="B356" s="8" t="n"/>
      <c r="C356" s="8" t="n"/>
      <c r="D356" s="8" t="n"/>
      <c r="E356" s="30" t="n"/>
      <c r="F356" s="12" t="n"/>
      <c r="G356" s="29">
        <f>IF(OR(E356="",F356=""),"",ROUND(E356*F356,2))</f>
        <v/>
      </c>
      <c r="H356" s="11" t="n"/>
      <c r="I356" s="10" t="n"/>
      <c r="J356" s="8" t="n"/>
    </row>
    <row r="357">
      <c r="B357" s="8" t="n"/>
      <c r="C357" s="8" t="n"/>
      <c r="D357" s="8" t="n"/>
      <c r="E357" s="30" t="n"/>
      <c r="F357" s="12" t="n"/>
      <c r="G357" s="29">
        <f>IF(OR(E357="",F357=""),"",ROUND(E357*F357,2))</f>
        <v/>
      </c>
      <c r="H357" s="11" t="n"/>
      <c r="I357" s="10" t="n"/>
      <c r="J357" s="8" t="n"/>
    </row>
    <row r="358">
      <c r="B358" s="8" t="n"/>
      <c r="C358" s="8" t="n"/>
      <c r="D358" s="8" t="n"/>
      <c r="E358" s="30" t="n"/>
      <c r="F358" s="12" t="n"/>
      <c r="G358" s="29">
        <f>IF(OR(E358="",F358=""),"",ROUND(E358*F358,2))</f>
        <v/>
      </c>
      <c r="H358" s="11" t="n"/>
      <c r="I358" s="10" t="n"/>
      <c r="J358" s="8" t="n"/>
    </row>
    <row r="359">
      <c r="B359" s="8" t="n"/>
      <c r="C359" s="8" t="n"/>
      <c r="D359" s="8" t="n"/>
      <c r="E359" s="30" t="n"/>
      <c r="F359" s="12" t="n"/>
      <c r="G359" s="29">
        <f>IF(OR(E359="",F359=""),"",ROUND(E359*F359,2))</f>
        <v/>
      </c>
      <c r="H359" s="11" t="n"/>
      <c r="I359" s="10" t="n"/>
      <c r="J359" s="8" t="n"/>
    </row>
    <row r="360">
      <c r="B360" s="8" t="n"/>
      <c r="C360" s="8" t="n"/>
      <c r="D360" s="8" t="n"/>
      <c r="E360" s="30" t="n"/>
      <c r="F360" s="12" t="n"/>
      <c r="G360" s="29">
        <f>IF(OR(E360="",F360=""),"",ROUND(E360*F360,2))</f>
        <v/>
      </c>
      <c r="H360" s="11" t="n"/>
      <c r="I360" s="10" t="n"/>
      <c r="J360" s="8" t="n"/>
    </row>
    <row r="361">
      <c r="B361" s="8" t="n"/>
      <c r="C361" s="8" t="n"/>
      <c r="D361" s="8" t="n"/>
      <c r="E361" s="30" t="n"/>
      <c r="F361" s="12" t="n"/>
      <c r="G361" s="29">
        <f>IF(OR(E361="",F361=""),"",ROUND(E361*F361,2))</f>
        <v/>
      </c>
      <c r="H361" s="11" t="n"/>
      <c r="I361" s="10" t="n"/>
      <c r="J361" s="8" t="n"/>
    </row>
    <row r="362">
      <c r="B362" s="8" t="n"/>
      <c r="C362" s="8" t="n"/>
      <c r="D362" s="8" t="n"/>
      <c r="E362" s="30" t="n"/>
      <c r="F362" s="12" t="n"/>
      <c r="G362" s="29">
        <f>IF(OR(E362="",F362=""),"",ROUND(E362*F362,2))</f>
        <v/>
      </c>
      <c r="H362" s="11" t="n"/>
      <c r="I362" s="10" t="n"/>
      <c r="J362" s="8" t="n"/>
    </row>
    <row r="363">
      <c r="B363" s="8" t="n"/>
      <c r="C363" s="8" t="n"/>
      <c r="D363" s="8" t="n"/>
      <c r="E363" s="30" t="n"/>
      <c r="F363" s="12" t="n"/>
      <c r="G363" s="29">
        <f>IF(OR(E363="",F363=""),"",ROUND(E363*F363,2))</f>
        <v/>
      </c>
      <c r="H363" s="11" t="n"/>
      <c r="I363" s="10" t="n"/>
      <c r="J363" s="8" t="n"/>
    </row>
    <row r="364">
      <c r="B364" s="8" t="n"/>
      <c r="C364" s="8" t="n"/>
      <c r="D364" s="8" t="n"/>
      <c r="E364" s="30" t="n"/>
      <c r="F364" s="12" t="n"/>
      <c r="G364" s="29">
        <f>IF(OR(E364="",F364=""),"",ROUND(E364*F364,2))</f>
        <v/>
      </c>
      <c r="H364" s="11" t="n"/>
      <c r="I364" s="10" t="n"/>
      <c r="J364" s="8" t="n"/>
    </row>
    <row r="365">
      <c r="B365" s="8" t="n"/>
      <c r="C365" s="8" t="n"/>
      <c r="D365" s="8" t="n"/>
      <c r="E365" s="30" t="n"/>
      <c r="F365" s="12" t="n"/>
      <c r="G365" s="29">
        <f>IF(OR(E365="",F365=""),"",ROUND(E365*F365,2))</f>
        <v/>
      </c>
      <c r="H365" s="11" t="n"/>
      <c r="I365" s="10" t="n"/>
      <c r="J365" s="8" t="n"/>
    </row>
    <row r="366">
      <c r="B366" s="8" t="n"/>
      <c r="C366" s="8" t="n"/>
      <c r="D366" s="8" t="n"/>
      <c r="E366" s="30" t="n"/>
      <c r="F366" s="12" t="n"/>
      <c r="G366" s="29">
        <f>IF(OR(E366="",F366=""),"",ROUND(E366*F366,2))</f>
        <v/>
      </c>
      <c r="H366" s="11" t="n"/>
      <c r="I366" s="10" t="n"/>
      <c r="J366" s="8" t="n"/>
    </row>
    <row r="367">
      <c r="B367" s="8" t="n"/>
      <c r="C367" s="8" t="n"/>
      <c r="D367" s="8" t="n"/>
      <c r="E367" s="30" t="n"/>
      <c r="F367" s="12" t="n"/>
      <c r="G367" s="29">
        <f>IF(OR(E367="",F367=""),"",ROUND(E367*F367,2))</f>
        <v/>
      </c>
      <c r="H367" s="11" t="n"/>
      <c r="I367" s="10" t="n"/>
      <c r="J367" s="8" t="n"/>
    </row>
    <row r="368">
      <c r="B368" s="8" t="n"/>
      <c r="C368" s="8" t="n"/>
      <c r="D368" s="8" t="n"/>
      <c r="E368" s="30" t="n"/>
      <c r="F368" s="12" t="n"/>
      <c r="G368" s="29">
        <f>IF(OR(E368="",F368=""),"",ROUND(E368*F368,2))</f>
        <v/>
      </c>
      <c r="H368" s="11" t="n"/>
      <c r="I368" s="10" t="n"/>
      <c r="J368" s="8" t="n"/>
    </row>
    <row r="369">
      <c r="B369" s="8" t="n"/>
      <c r="C369" s="8" t="n"/>
      <c r="D369" s="8" t="n"/>
      <c r="E369" s="30" t="n"/>
      <c r="F369" s="12" t="n"/>
      <c r="G369" s="29">
        <f>IF(OR(E369="",F369=""),"",ROUND(E369*F369,2))</f>
        <v/>
      </c>
      <c r="H369" s="11" t="n"/>
      <c r="I369" s="10" t="n"/>
      <c r="J369" s="8" t="n"/>
    </row>
    <row r="370">
      <c r="B370" s="8" t="n"/>
      <c r="C370" s="8" t="n"/>
      <c r="D370" s="8" t="n"/>
      <c r="E370" s="30" t="n"/>
      <c r="F370" s="12" t="n"/>
      <c r="G370" s="29">
        <f>IF(OR(E370="",F370=""),"",ROUND(E370*F370,2))</f>
        <v/>
      </c>
      <c r="H370" s="11" t="n"/>
      <c r="I370" s="10" t="n"/>
      <c r="J370" s="8" t="n"/>
    </row>
    <row r="371">
      <c r="B371" s="8" t="n"/>
      <c r="C371" s="8" t="n"/>
      <c r="D371" s="8" t="n"/>
      <c r="E371" s="30" t="n"/>
      <c r="F371" s="12" t="n"/>
      <c r="G371" s="29">
        <f>IF(OR(E371="",F371=""),"",ROUND(E371*F371,2))</f>
        <v/>
      </c>
      <c r="H371" s="11" t="n"/>
      <c r="I371" s="10" t="n"/>
      <c r="J371" s="8" t="n"/>
    </row>
    <row r="372">
      <c r="B372" s="8" t="n"/>
      <c r="C372" s="8" t="n"/>
      <c r="D372" s="8" t="n"/>
      <c r="E372" s="30" t="n"/>
      <c r="F372" s="12" t="n"/>
      <c r="G372" s="29">
        <f>IF(OR(E372="",F372=""),"",ROUND(E372*F372,2))</f>
        <v/>
      </c>
      <c r="H372" s="11" t="n"/>
      <c r="I372" s="10" t="n"/>
      <c r="J372" s="8" t="n"/>
    </row>
    <row r="373">
      <c r="B373" s="8" t="n"/>
      <c r="C373" s="8" t="n"/>
      <c r="D373" s="8" t="n"/>
      <c r="E373" s="30" t="n"/>
      <c r="F373" s="12" t="n"/>
      <c r="G373" s="29">
        <f>IF(OR(E373="",F373=""),"",ROUND(E373*F373,2))</f>
        <v/>
      </c>
      <c r="H373" s="11" t="n"/>
      <c r="I373" s="10" t="n"/>
      <c r="J373" s="8" t="n"/>
    </row>
    <row r="374">
      <c r="B374" s="8" t="n"/>
      <c r="C374" s="8" t="n"/>
      <c r="D374" s="8" t="n"/>
      <c r="E374" s="30" t="n"/>
      <c r="F374" s="12" t="n"/>
      <c r="G374" s="29">
        <f>IF(OR(E374="",F374=""),"",ROUND(E374*F374,2))</f>
        <v/>
      </c>
      <c r="H374" s="11" t="n"/>
      <c r="I374" s="10" t="n"/>
      <c r="J374" s="8" t="n"/>
    </row>
    <row r="375">
      <c r="B375" s="8" t="n"/>
      <c r="C375" s="8" t="n"/>
      <c r="D375" s="8" t="n"/>
      <c r="E375" s="30" t="n"/>
      <c r="F375" s="12" t="n"/>
      <c r="G375" s="29">
        <f>IF(OR(E375="",F375=""),"",ROUND(E375*F375,2))</f>
        <v/>
      </c>
      <c r="H375" s="11" t="n"/>
      <c r="I375" s="10" t="n"/>
      <c r="J375" s="8" t="n"/>
    </row>
    <row r="376">
      <c r="B376" s="8" t="n"/>
      <c r="C376" s="8" t="n"/>
      <c r="D376" s="8" t="n"/>
      <c r="E376" s="30" t="n"/>
      <c r="F376" s="12" t="n"/>
      <c r="G376" s="29">
        <f>IF(OR(E376="",F376=""),"",ROUND(E376*F376,2))</f>
        <v/>
      </c>
      <c r="H376" s="11" t="n"/>
      <c r="I376" s="10" t="n"/>
      <c r="J376" s="8" t="n"/>
    </row>
    <row r="377">
      <c r="B377" s="8" t="n"/>
      <c r="C377" s="8" t="n"/>
      <c r="D377" s="8" t="n"/>
      <c r="E377" s="30" t="n"/>
      <c r="F377" s="12" t="n"/>
      <c r="G377" s="29">
        <f>IF(OR(E377="",F377=""),"",ROUND(E377*F377,2))</f>
        <v/>
      </c>
      <c r="H377" s="11" t="n"/>
      <c r="I377" s="10" t="n"/>
      <c r="J377" s="8" t="n"/>
    </row>
    <row r="378">
      <c r="B378" s="8" t="n"/>
      <c r="C378" s="8" t="n"/>
      <c r="D378" s="8" t="n"/>
      <c r="E378" s="30" t="n"/>
      <c r="F378" s="12" t="n"/>
      <c r="G378" s="29">
        <f>IF(OR(E378="",F378=""),"",ROUND(E378*F378,2))</f>
        <v/>
      </c>
      <c r="H378" s="11" t="n"/>
      <c r="I378" s="10" t="n"/>
      <c r="J378" s="8" t="n"/>
    </row>
    <row r="379">
      <c r="B379" s="8" t="n"/>
      <c r="C379" s="8" t="n"/>
      <c r="D379" s="8" t="n"/>
      <c r="E379" s="30" t="n"/>
      <c r="F379" s="12" t="n"/>
      <c r="G379" s="29">
        <f>IF(OR(E379="",F379=""),"",ROUND(E379*F379,2))</f>
        <v/>
      </c>
      <c r="H379" s="11" t="n"/>
      <c r="I379" s="10" t="n"/>
      <c r="J379" s="8" t="n"/>
    </row>
    <row r="380">
      <c r="B380" s="8" t="n"/>
      <c r="C380" s="8" t="n"/>
      <c r="D380" s="8" t="n"/>
      <c r="E380" s="30" t="n"/>
      <c r="F380" s="12" t="n"/>
      <c r="G380" s="29">
        <f>IF(OR(E380="",F380=""),"",ROUND(E380*F380,2))</f>
        <v/>
      </c>
      <c r="H380" s="11" t="n"/>
      <c r="I380" s="10" t="n"/>
      <c r="J380" s="8" t="n"/>
    </row>
    <row r="381">
      <c r="B381" s="8" t="n"/>
      <c r="C381" s="8" t="n"/>
      <c r="D381" s="8" t="n"/>
      <c r="E381" s="30" t="n"/>
      <c r="F381" s="12" t="n"/>
      <c r="G381" s="29">
        <f>IF(OR(E381="",F381=""),"",ROUND(E381*F381,2))</f>
        <v/>
      </c>
      <c r="H381" s="11" t="n"/>
      <c r="I381" s="10" t="n"/>
      <c r="J381" s="8" t="n"/>
    </row>
    <row r="382">
      <c r="B382" s="8" t="n"/>
      <c r="C382" s="8" t="n"/>
      <c r="D382" s="8" t="n"/>
      <c r="E382" s="30" t="n"/>
      <c r="F382" s="12" t="n"/>
      <c r="G382" s="29">
        <f>IF(OR(E382="",F382=""),"",ROUND(E382*F382,2))</f>
        <v/>
      </c>
      <c r="H382" s="11" t="n"/>
      <c r="I382" s="10" t="n"/>
      <c r="J382" s="8" t="n"/>
    </row>
    <row r="383">
      <c r="B383" s="8" t="n"/>
      <c r="C383" s="8" t="n"/>
      <c r="D383" s="8" t="n"/>
      <c r="E383" s="30" t="n"/>
      <c r="F383" s="12" t="n"/>
      <c r="G383" s="29">
        <f>IF(OR(E383="",F383=""),"",ROUND(E383*F383,2))</f>
        <v/>
      </c>
      <c r="H383" s="11" t="n"/>
      <c r="I383" s="10" t="n"/>
      <c r="J383" s="8" t="n"/>
    </row>
    <row r="384">
      <c r="B384" s="8" t="n"/>
      <c r="C384" s="8" t="n"/>
      <c r="D384" s="8" t="n"/>
      <c r="E384" s="30" t="n"/>
      <c r="F384" s="12" t="n"/>
      <c r="G384" s="29">
        <f>IF(OR(E384="",F384=""),"",ROUND(E384*F384,2))</f>
        <v/>
      </c>
      <c r="H384" s="11" t="n"/>
      <c r="I384" s="10" t="n"/>
      <c r="J384" s="8" t="n"/>
    </row>
    <row r="385">
      <c r="B385" s="8" t="n"/>
      <c r="C385" s="8" t="n"/>
      <c r="D385" s="8" t="n"/>
      <c r="E385" s="30" t="n"/>
      <c r="F385" s="12" t="n"/>
      <c r="G385" s="29">
        <f>IF(OR(E385="",F385=""),"",ROUND(E385*F385,2))</f>
        <v/>
      </c>
      <c r="H385" s="11" t="n"/>
      <c r="I385" s="10" t="n"/>
      <c r="J385" s="8" t="n"/>
    </row>
    <row r="386">
      <c r="B386" s="8" t="n"/>
      <c r="C386" s="8" t="n"/>
      <c r="D386" s="8" t="n"/>
      <c r="E386" s="30" t="n"/>
      <c r="F386" s="12" t="n"/>
      <c r="G386" s="29">
        <f>IF(OR(E386="",F386=""),"",ROUND(E386*F386,2))</f>
        <v/>
      </c>
      <c r="H386" s="11" t="n"/>
      <c r="I386" s="10" t="n"/>
      <c r="J386" s="8" t="n"/>
    </row>
    <row r="387">
      <c r="B387" s="8" t="n"/>
      <c r="C387" s="8" t="n"/>
      <c r="D387" s="8" t="n"/>
      <c r="E387" s="30" t="n"/>
      <c r="F387" s="12" t="n"/>
      <c r="G387" s="29">
        <f>IF(OR(E387="",F387=""),"",ROUND(E387*F387,2))</f>
        <v/>
      </c>
      <c r="H387" s="11" t="n"/>
      <c r="I387" s="10" t="n"/>
      <c r="J387" s="8" t="n"/>
    </row>
    <row r="388">
      <c r="B388" s="8" t="n"/>
      <c r="C388" s="8" t="n"/>
      <c r="D388" s="8" t="n"/>
      <c r="E388" s="30" t="n"/>
      <c r="F388" s="12" t="n"/>
      <c r="G388" s="29">
        <f>IF(OR(E388="",F388=""),"",ROUND(E388*F388,2))</f>
        <v/>
      </c>
      <c r="H388" s="11" t="n"/>
      <c r="I388" s="10" t="n"/>
      <c r="J388" s="8" t="n"/>
    </row>
    <row r="389">
      <c r="B389" s="8" t="n"/>
      <c r="C389" s="8" t="n"/>
      <c r="D389" s="8" t="n"/>
      <c r="E389" s="30" t="n"/>
      <c r="F389" s="12" t="n"/>
      <c r="G389" s="29">
        <f>IF(OR(E389="",F389=""),"",ROUND(E389*F389,2))</f>
        <v/>
      </c>
      <c r="H389" s="11" t="n"/>
      <c r="I389" s="10" t="n"/>
      <c r="J389" s="8" t="n"/>
    </row>
    <row r="390">
      <c r="B390" s="8" t="n"/>
      <c r="C390" s="8" t="n"/>
      <c r="D390" s="8" t="n"/>
      <c r="E390" s="30" t="n"/>
      <c r="F390" s="12" t="n"/>
      <c r="G390" s="29">
        <f>IF(OR(E390="",F390=""),"",ROUND(E390*F390,2))</f>
        <v/>
      </c>
      <c r="H390" s="11" t="n"/>
      <c r="I390" s="10" t="n"/>
      <c r="J390" s="8" t="n"/>
    </row>
    <row r="391">
      <c r="B391" s="8" t="n"/>
      <c r="C391" s="8" t="n"/>
      <c r="D391" s="8" t="n"/>
      <c r="E391" s="30" t="n"/>
      <c r="F391" s="12" t="n"/>
      <c r="G391" s="29">
        <f>IF(OR(E391="",F391=""),"",ROUND(E391*F391,2))</f>
        <v/>
      </c>
      <c r="H391" s="11" t="n"/>
      <c r="I391" s="10" t="n"/>
      <c r="J391" s="8" t="n"/>
    </row>
    <row r="392">
      <c r="B392" s="8" t="n"/>
      <c r="C392" s="8" t="n"/>
      <c r="D392" s="8" t="n"/>
      <c r="E392" s="30" t="n"/>
      <c r="F392" s="12" t="n"/>
      <c r="G392" s="29">
        <f>IF(OR(E392="",F392=""),"",ROUND(E392*F392,2))</f>
        <v/>
      </c>
      <c r="H392" s="11" t="n"/>
      <c r="I392" s="10" t="n"/>
      <c r="J392" s="8" t="n"/>
    </row>
    <row r="393">
      <c r="B393" s="8" t="n"/>
      <c r="C393" s="8" t="n"/>
      <c r="D393" s="8" t="n"/>
      <c r="E393" s="30" t="n"/>
      <c r="F393" s="12" t="n"/>
      <c r="G393" s="29">
        <f>IF(OR(E393="",F393=""),"",ROUND(E393*F393,2))</f>
        <v/>
      </c>
      <c r="H393" s="11" t="n"/>
      <c r="I393" s="10" t="n"/>
      <c r="J393" s="8" t="n"/>
    </row>
    <row r="394">
      <c r="B394" s="8" t="n"/>
      <c r="C394" s="8" t="n"/>
      <c r="D394" s="8" t="n"/>
      <c r="E394" s="30" t="n"/>
      <c r="F394" s="12" t="n"/>
      <c r="G394" s="29">
        <f>IF(OR(E394="",F394=""),"",ROUND(E394*F394,2))</f>
        <v/>
      </c>
      <c r="H394" s="11" t="n"/>
      <c r="I394" s="10" t="n"/>
      <c r="J394" s="8" t="n"/>
    </row>
    <row r="395">
      <c r="B395" s="8" t="n"/>
      <c r="C395" s="8" t="n"/>
      <c r="D395" s="8" t="n"/>
      <c r="E395" s="30" t="n"/>
      <c r="F395" s="12" t="n"/>
      <c r="G395" s="29">
        <f>IF(OR(E395="",F395=""),"",ROUND(E395*F395,2))</f>
        <v/>
      </c>
      <c r="H395" s="11" t="n"/>
      <c r="I395" s="10" t="n"/>
      <c r="J395" s="8" t="n"/>
    </row>
    <row r="396">
      <c r="B396" s="8" t="n"/>
      <c r="C396" s="8" t="n"/>
      <c r="D396" s="8" t="n"/>
      <c r="E396" s="30" t="n"/>
      <c r="F396" s="12" t="n"/>
      <c r="G396" s="29">
        <f>IF(OR(E396="",F396=""),"",ROUND(E396*F396,2))</f>
        <v/>
      </c>
      <c r="H396" s="11" t="n"/>
      <c r="I396" s="10" t="n"/>
      <c r="J396" s="8" t="n"/>
    </row>
    <row r="397">
      <c r="B397" s="8" t="n"/>
      <c r="C397" s="8" t="n"/>
      <c r="D397" s="8" t="n"/>
      <c r="E397" s="30" t="n"/>
      <c r="F397" s="12" t="n"/>
      <c r="G397" s="29">
        <f>IF(OR(E397="",F397=""),"",ROUND(E397*F397,2))</f>
        <v/>
      </c>
      <c r="H397" s="11" t="n"/>
      <c r="I397" s="10" t="n"/>
      <c r="J397" s="8" t="n"/>
    </row>
    <row r="398">
      <c r="B398" s="8" t="n"/>
      <c r="C398" s="8" t="n"/>
      <c r="D398" s="8" t="n"/>
      <c r="E398" s="30" t="n"/>
      <c r="F398" s="12" t="n"/>
      <c r="G398" s="29">
        <f>IF(OR(E398="",F398=""),"",ROUND(E398*F398,2))</f>
        <v/>
      </c>
      <c r="H398" s="11" t="n"/>
      <c r="I398" s="10" t="n"/>
      <c r="J398" s="8" t="n"/>
    </row>
    <row r="399">
      <c r="B399" s="8" t="n"/>
      <c r="C399" s="8" t="n"/>
      <c r="D399" s="8" t="n"/>
      <c r="E399" s="30" t="n"/>
      <c r="F399" s="12" t="n"/>
      <c r="G399" s="29">
        <f>IF(OR(E399="",F399=""),"",ROUND(E399*F399,2))</f>
        <v/>
      </c>
      <c r="H399" s="11" t="n"/>
      <c r="I399" s="10" t="n"/>
      <c r="J399" s="8" t="n"/>
    </row>
    <row r="400">
      <c r="B400" s="8" t="n"/>
      <c r="C400" s="8" t="n"/>
      <c r="D400" s="8" t="n"/>
      <c r="E400" s="30" t="n"/>
      <c r="F400" s="12" t="n"/>
      <c r="G400" s="29">
        <f>IF(OR(E400="",F400=""),"",ROUND(E400*F400,2))</f>
        <v/>
      </c>
      <c r="H400" s="11" t="n"/>
      <c r="I400" s="10" t="n"/>
      <c r="J400" s="8" t="n"/>
    </row>
    <row r="401">
      <c r="B401" s="8" t="n"/>
      <c r="C401" s="8" t="n"/>
      <c r="D401" s="8" t="n"/>
      <c r="E401" s="30" t="n"/>
      <c r="F401" s="12" t="n"/>
      <c r="G401" s="29">
        <f>IF(OR(E401="",F401=""),"",ROUND(E401*F401,2))</f>
        <v/>
      </c>
      <c r="H401" s="11" t="n"/>
      <c r="I401" s="10" t="n"/>
      <c r="J401" s="8" t="n"/>
    </row>
    <row r="402">
      <c r="B402" s="8" t="n"/>
      <c r="C402" s="8" t="n"/>
      <c r="D402" s="8" t="n"/>
      <c r="E402" s="30" t="n"/>
      <c r="F402" s="12" t="n"/>
      <c r="G402" s="29">
        <f>IF(OR(E402="",F402=""),"",ROUND(E402*F402,2))</f>
        <v/>
      </c>
      <c r="H402" s="11" t="n"/>
      <c r="I402" s="10" t="n"/>
      <c r="J402" s="8" t="n"/>
    </row>
    <row r="403">
      <c r="B403" s="8" t="n"/>
      <c r="C403" s="8" t="n"/>
      <c r="D403" s="8" t="n"/>
      <c r="E403" s="30" t="n"/>
      <c r="F403" s="12" t="n"/>
      <c r="G403" s="29">
        <f>IF(OR(E403="",F403=""),"",ROUND(E403*F403,2))</f>
        <v/>
      </c>
      <c r="H403" s="11" t="n"/>
      <c r="I403" s="10" t="n"/>
      <c r="J403" s="8" t="n"/>
    </row>
    <row r="404">
      <c r="B404" s="8" t="n"/>
      <c r="C404" s="8" t="n"/>
      <c r="D404" s="8" t="n"/>
      <c r="E404" s="30" t="n"/>
      <c r="F404" s="12" t="n"/>
      <c r="G404" s="29">
        <f>IF(OR(E404="",F404=""),"",ROUND(E404*F404,2))</f>
        <v/>
      </c>
      <c r="H404" s="11" t="n"/>
      <c r="I404" s="10" t="n"/>
      <c r="J404" s="8" t="n"/>
    </row>
    <row r="405">
      <c r="B405" s="8" t="n"/>
      <c r="C405" s="8" t="n"/>
      <c r="D405" s="8" t="n"/>
      <c r="E405" s="30" t="n"/>
      <c r="F405" s="12" t="n"/>
      <c r="G405" s="29">
        <f>IF(OR(E405="",F405=""),"",ROUND(E405*F405,2))</f>
        <v/>
      </c>
      <c r="H405" s="11" t="n"/>
      <c r="I405" s="10" t="n"/>
      <c r="J405" s="8" t="n"/>
    </row>
    <row r="406">
      <c r="B406" s="8" t="n"/>
      <c r="C406" s="8" t="n"/>
      <c r="D406" s="8" t="n"/>
      <c r="E406" s="30" t="n"/>
      <c r="F406" s="12" t="n"/>
      <c r="G406" s="29">
        <f>IF(OR(E406="",F406=""),"",ROUND(E406*F406,2))</f>
        <v/>
      </c>
      <c r="H406" s="11" t="n"/>
      <c r="I406" s="10" t="n"/>
      <c r="J406" s="8" t="n"/>
    </row>
    <row r="407">
      <c r="B407" s="8" t="n"/>
      <c r="C407" s="8" t="n"/>
      <c r="D407" s="8" t="n"/>
      <c r="E407" s="30" t="n"/>
      <c r="F407" s="12" t="n"/>
      <c r="G407" s="29">
        <f>IF(OR(E407="",F407=""),"",ROUND(E407*F407,2))</f>
        <v/>
      </c>
      <c r="H407" s="11" t="n"/>
      <c r="I407" s="10" t="n"/>
      <c r="J407" s="8" t="n"/>
    </row>
    <row r="408">
      <c r="B408" s="8" t="n"/>
      <c r="C408" s="8" t="n"/>
      <c r="D408" s="8" t="n"/>
      <c r="E408" s="30" t="n"/>
      <c r="F408" s="12" t="n"/>
      <c r="G408" s="29">
        <f>IF(OR(E408="",F408=""),"",ROUND(E408*F408,2))</f>
        <v/>
      </c>
      <c r="H408" s="11" t="n"/>
      <c r="I408" s="10" t="n"/>
      <c r="J408" s="8" t="n"/>
    </row>
    <row r="409">
      <c r="B409" s="8" t="n"/>
      <c r="C409" s="8" t="n"/>
      <c r="D409" s="8" t="n"/>
      <c r="E409" s="30" t="n"/>
      <c r="F409" s="12" t="n"/>
      <c r="G409" s="29">
        <f>IF(OR(E409="",F409=""),"",ROUND(E409*F409,2))</f>
        <v/>
      </c>
      <c r="H409" s="11" t="n"/>
      <c r="I409" s="10" t="n"/>
      <c r="J409" s="8" t="n"/>
    </row>
    <row r="410">
      <c r="B410" s="8" t="n"/>
      <c r="C410" s="8" t="n"/>
      <c r="D410" s="8" t="n"/>
      <c r="E410" s="30" t="n"/>
      <c r="F410" s="12" t="n"/>
      <c r="G410" s="29">
        <f>IF(OR(E410="",F410=""),"",ROUND(E410*F410,2))</f>
        <v/>
      </c>
      <c r="H410" s="11" t="n"/>
      <c r="I410" s="10" t="n"/>
      <c r="J410" s="8" t="n"/>
    </row>
    <row r="411">
      <c r="B411" s="8" t="n"/>
      <c r="C411" s="8" t="n"/>
      <c r="D411" s="8" t="n"/>
      <c r="E411" s="30" t="n"/>
      <c r="F411" s="12" t="n"/>
      <c r="G411" s="29">
        <f>IF(OR(E411="",F411=""),"",ROUND(E411*F411,2))</f>
        <v/>
      </c>
      <c r="H411" s="11" t="n"/>
      <c r="I411" s="10" t="n"/>
      <c r="J411" s="8" t="n"/>
    </row>
    <row r="412">
      <c r="B412" s="8" t="n"/>
      <c r="C412" s="8" t="n"/>
      <c r="D412" s="8" t="n"/>
      <c r="E412" s="30" t="n"/>
      <c r="F412" s="12" t="n"/>
      <c r="G412" s="29">
        <f>IF(OR(E412="",F412=""),"",ROUND(E412*F412,2))</f>
        <v/>
      </c>
      <c r="H412" s="11" t="n"/>
      <c r="I412" s="10" t="n"/>
      <c r="J412" s="8" t="n"/>
    </row>
    <row r="413">
      <c r="B413" s="8" t="n"/>
      <c r="C413" s="8" t="n"/>
      <c r="D413" s="8" t="n"/>
      <c r="E413" s="30" t="n"/>
      <c r="F413" s="12" t="n"/>
      <c r="G413" s="29">
        <f>IF(OR(E413="",F413=""),"",ROUND(E413*F413,2))</f>
        <v/>
      </c>
      <c r="H413" s="11" t="n"/>
      <c r="I413" s="10" t="n"/>
      <c r="J413" s="8" t="n"/>
    </row>
    <row r="414">
      <c r="B414" s="8" t="n"/>
      <c r="C414" s="8" t="n"/>
      <c r="D414" s="8" t="n"/>
      <c r="E414" s="30" t="n"/>
      <c r="F414" s="12" t="n"/>
      <c r="G414" s="29">
        <f>IF(OR(E414="",F414=""),"",ROUND(E414*F414,2))</f>
        <v/>
      </c>
      <c r="H414" s="11" t="n"/>
      <c r="I414" s="10" t="n"/>
      <c r="J414" s="8" t="n"/>
    </row>
    <row r="415">
      <c r="B415" s="8" t="n"/>
      <c r="C415" s="8" t="n"/>
      <c r="D415" s="8" t="n"/>
      <c r="E415" s="30" t="n"/>
      <c r="F415" s="12" t="n"/>
      <c r="G415" s="29">
        <f>IF(OR(E415="",F415=""),"",ROUND(E415*F415,2))</f>
        <v/>
      </c>
      <c r="H415" s="11" t="n"/>
      <c r="I415" s="10" t="n"/>
      <c r="J415" s="8" t="n"/>
    </row>
    <row r="416">
      <c r="B416" s="8" t="n"/>
      <c r="C416" s="8" t="n"/>
      <c r="D416" s="8" t="n"/>
      <c r="E416" s="30" t="n"/>
      <c r="F416" s="12" t="n"/>
      <c r="G416" s="29">
        <f>IF(OR(E416="",F416=""),"",ROUND(E416*F416,2))</f>
        <v/>
      </c>
      <c r="H416" s="11" t="n"/>
      <c r="I416" s="10" t="n"/>
      <c r="J416" s="8" t="n"/>
    </row>
    <row r="417">
      <c r="B417" s="8" t="n"/>
      <c r="C417" s="8" t="n"/>
      <c r="D417" s="8" t="n"/>
      <c r="E417" s="30" t="n"/>
      <c r="F417" s="12" t="n"/>
      <c r="G417" s="29">
        <f>IF(OR(E417="",F417=""),"",ROUND(E417*F417,2))</f>
        <v/>
      </c>
      <c r="H417" s="11" t="n"/>
      <c r="I417" s="10" t="n"/>
      <c r="J417" s="8" t="n"/>
    </row>
    <row r="418">
      <c r="B418" s="8" t="n"/>
      <c r="C418" s="8" t="n"/>
      <c r="D418" s="8" t="n"/>
      <c r="E418" s="30" t="n"/>
      <c r="F418" s="12" t="n"/>
      <c r="G418" s="29">
        <f>IF(OR(E418="",F418=""),"",ROUND(E418*F418,2))</f>
        <v/>
      </c>
      <c r="H418" s="11" t="n"/>
      <c r="I418" s="10" t="n"/>
      <c r="J418" s="8" t="n"/>
    </row>
    <row r="419">
      <c r="B419" s="8" t="n"/>
      <c r="C419" s="8" t="n"/>
      <c r="D419" s="8" t="n"/>
      <c r="E419" s="30" t="n"/>
      <c r="F419" s="12" t="n"/>
      <c r="G419" s="29">
        <f>IF(OR(E419="",F419=""),"",ROUND(E419*F419,2))</f>
        <v/>
      </c>
      <c r="H419" s="11" t="n"/>
      <c r="I419" s="10" t="n"/>
      <c r="J419" s="8" t="n"/>
    </row>
    <row r="420">
      <c r="B420" s="8" t="n"/>
      <c r="C420" s="8" t="n"/>
      <c r="D420" s="8" t="n"/>
      <c r="E420" s="30" t="n"/>
      <c r="F420" s="12" t="n"/>
      <c r="G420" s="29">
        <f>IF(OR(E420="",F420=""),"",ROUND(E420*F420,2))</f>
        <v/>
      </c>
      <c r="H420" s="11" t="n"/>
      <c r="I420" s="10" t="n"/>
      <c r="J420" s="8" t="n"/>
    </row>
    <row r="421">
      <c r="B421" s="8" t="n"/>
      <c r="C421" s="8" t="n"/>
      <c r="D421" s="8" t="n"/>
      <c r="E421" s="30" t="n"/>
      <c r="F421" s="12" t="n"/>
      <c r="G421" s="29">
        <f>IF(OR(E421="",F421=""),"",ROUND(E421*F421,2))</f>
        <v/>
      </c>
      <c r="H421" s="11" t="n"/>
      <c r="I421" s="10" t="n"/>
      <c r="J421" s="8" t="n"/>
    </row>
    <row r="422">
      <c r="B422" s="8" t="n"/>
      <c r="C422" s="8" t="n"/>
      <c r="D422" s="8" t="n"/>
      <c r="E422" s="30" t="n"/>
      <c r="F422" s="12" t="n"/>
      <c r="G422" s="29">
        <f>IF(OR(E422="",F422=""),"",ROUND(E422*F422,2))</f>
        <v/>
      </c>
      <c r="H422" s="11" t="n"/>
      <c r="I422" s="10" t="n"/>
      <c r="J422" s="8" t="n"/>
    </row>
    <row r="423">
      <c r="B423" s="8" t="n"/>
      <c r="C423" s="8" t="n"/>
      <c r="D423" s="8" t="n"/>
      <c r="E423" s="30" t="n"/>
      <c r="F423" s="12" t="n"/>
      <c r="G423" s="29">
        <f>IF(OR(E423="",F423=""),"",ROUND(E423*F423,2))</f>
        <v/>
      </c>
      <c r="H423" s="11" t="n"/>
      <c r="I423" s="10" t="n"/>
      <c r="J423" s="8" t="n"/>
    </row>
    <row r="424">
      <c r="B424" s="8" t="n"/>
      <c r="C424" s="8" t="n"/>
      <c r="D424" s="8" t="n"/>
      <c r="E424" s="30" t="n"/>
      <c r="F424" s="12" t="n"/>
      <c r="G424" s="29">
        <f>IF(OR(E424="",F424=""),"",ROUND(E424*F424,2))</f>
        <v/>
      </c>
      <c r="H424" s="11" t="n"/>
      <c r="I424" s="10" t="n"/>
      <c r="J424" s="8" t="n"/>
    </row>
    <row r="425">
      <c r="B425" s="8" t="n"/>
      <c r="C425" s="8" t="n"/>
      <c r="D425" s="8" t="n"/>
      <c r="E425" s="30" t="n"/>
      <c r="F425" s="12" t="n"/>
      <c r="G425" s="29">
        <f>IF(OR(E425="",F425=""),"",ROUND(E425*F425,2))</f>
        <v/>
      </c>
      <c r="H425" s="11" t="n"/>
      <c r="I425" s="10" t="n"/>
      <c r="J425" s="8" t="n"/>
    </row>
    <row r="426">
      <c r="B426" s="8" t="n"/>
      <c r="C426" s="8" t="n"/>
      <c r="D426" s="8" t="n"/>
      <c r="E426" s="30" t="n"/>
      <c r="F426" s="12" t="n"/>
      <c r="G426" s="29">
        <f>IF(OR(E426="",F426=""),"",ROUND(E426*F426,2))</f>
        <v/>
      </c>
      <c r="H426" s="11" t="n"/>
      <c r="I426" s="10" t="n"/>
      <c r="J426" s="8" t="n"/>
    </row>
    <row r="427">
      <c r="B427" s="8" t="n"/>
      <c r="C427" s="8" t="n"/>
      <c r="D427" s="8" t="n"/>
      <c r="E427" s="30" t="n"/>
      <c r="F427" s="12" t="n"/>
      <c r="G427" s="29">
        <f>IF(OR(E427="",F427=""),"",ROUND(E427*F427,2))</f>
        <v/>
      </c>
      <c r="H427" s="11" t="n"/>
      <c r="I427" s="10" t="n"/>
      <c r="J427" s="8" t="n"/>
    </row>
    <row r="428">
      <c r="B428" s="8" t="n"/>
      <c r="C428" s="8" t="n"/>
      <c r="D428" s="8" t="n"/>
      <c r="E428" s="30" t="n"/>
      <c r="F428" s="12" t="n"/>
      <c r="G428" s="29">
        <f>IF(OR(E428="",F428=""),"",ROUND(E428*F428,2))</f>
        <v/>
      </c>
      <c r="H428" s="11" t="n"/>
      <c r="I428" s="10" t="n"/>
      <c r="J428" s="8" t="n"/>
    </row>
    <row r="429">
      <c r="B429" s="8" t="n"/>
      <c r="C429" s="8" t="n"/>
      <c r="D429" s="8" t="n"/>
      <c r="E429" s="30" t="n"/>
      <c r="F429" s="12" t="n"/>
      <c r="G429" s="29">
        <f>IF(OR(E429="",F429=""),"",ROUND(E429*F429,2))</f>
        <v/>
      </c>
      <c r="H429" s="11" t="n"/>
      <c r="I429" s="10" t="n"/>
      <c r="J429" s="8" t="n"/>
    </row>
    <row r="430">
      <c r="B430" s="8" t="n"/>
      <c r="C430" s="8" t="n"/>
      <c r="D430" s="8" t="n"/>
      <c r="E430" s="30" t="n"/>
      <c r="F430" s="12" t="n"/>
      <c r="G430" s="29">
        <f>IF(OR(E430="",F430=""),"",ROUND(E430*F430,2))</f>
        <v/>
      </c>
      <c r="H430" s="11" t="n"/>
      <c r="I430" s="10" t="n"/>
      <c r="J430" s="8" t="n"/>
    </row>
    <row r="431">
      <c r="B431" s="8" t="n"/>
      <c r="C431" s="8" t="n"/>
      <c r="D431" s="8" t="n"/>
      <c r="E431" s="30" t="n"/>
      <c r="F431" s="12" t="n"/>
      <c r="G431" s="29">
        <f>IF(OR(E431="",F431=""),"",ROUND(E431*F431,2))</f>
        <v/>
      </c>
      <c r="H431" s="11" t="n"/>
      <c r="I431" s="10" t="n"/>
      <c r="J431" s="8" t="n"/>
    </row>
    <row r="432">
      <c r="B432" s="8" t="n"/>
      <c r="C432" s="8" t="n"/>
      <c r="D432" s="8" t="n"/>
      <c r="E432" s="30" t="n"/>
      <c r="F432" s="12" t="n"/>
      <c r="G432" s="29">
        <f>IF(OR(E432="",F432=""),"",ROUND(E432*F432,2))</f>
        <v/>
      </c>
      <c r="H432" s="11" t="n"/>
      <c r="I432" s="10" t="n"/>
      <c r="J432" s="8" t="n"/>
    </row>
    <row r="433">
      <c r="B433" s="8" t="n"/>
      <c r="C433" s="8" t="n"/>
      <c r="D433" s="8" t="n"/>
      <c r="E433" s="30" t="n"/>
      <c r="F433" s="12" t="n"/>
      <c r="G433" s="29">
        <f>IF(OR(E433="",F433=""),"",ROUND(E433*F433,2))</f>
        <v/>
      </c>
      <c r="H433" s="11" t="n"/>
      <c r="I433" s="10" t="n"/>
      <c r="J433" s="8" t="n"/>
    </row>
    <row r="434">
      <c r="B434" s="8" t="n"/>
      <c r="C434" s="8" t="n"/>
      <c r="D434" s="8" t="n"/>
      <c r="E434" s="30" t="n"/>
      <c r="F434" s="12" t="n"/>
      <c r="G434" s="29">
        <f>IF(OR(E434="",F434=""),"",ROUND(E434*F434,2))</f>
        <v/>
      </c>
      <c r="H434" s="11" t="n"/>
      <c r="I434" s="10" t="n"/>
      <c r="J434" s="8" t="n"/>
    </row>
    <row r="435">
      <c r="B435" s="8" t="n"/>
      <c r="C435" s="8" t="n"/>
      <c r="D435" s="8" t="n"/>
      <c r="E435" s="30" t="n"/>
      <c r="F435" s="12" t="n"/>
      <c r="G435" s="29">
        <f>IF(OR(E435="",F435=""),"",ROUND(E435*F435,2))</f>
        <v/>
      </c>
      <c r="H435" s="11" t="n"/>
      <c r="I435" s="10" t="n"/>
      <c r="J435" s="8" t="n"/>
    </row>
    <row r="436">
      <c r="B436" s="8" t="n"/>
      <c r="C436" s="8" t="n"/>
      <c r="D436" s="8" t="n"/>
      <c r="E436" s="30" t="n"/>
      <c r="F436" s="12" t="n"/>
      <c r="G436" s="29">
        <f>IF(OR(E436="",F436=""),"",ROUND(E436*F436,2))</f>
        <v/>
      </c>
      <c r="H436" s="11" t="n"/>
      <c r="I436" s="10" t="n"/>
      <c r="J436" s="8" t="n"/>
    </row>
    <row r="437">
      <c r="B437" s="8" t="n"/>
      <c r="C437" s="8" t="n"/>
      <c r="D437" s="8" t="n"/>
      <c r="E437" s="30" t="n"/>
      <c r="F437" s="12" t="n"/>
      <c r="G437" s="29">
        <f>IF(OR(E437="",F437=""),"",ROUND(E437*F437,2))</f>
        <v/>
      </c>
      <c r="H437" s="11" t="n"/>
      <c r="I437" s="10" t="n"/>
      <c r="J437" s="8" t="n"/>
    </row>
    <row r="438">
      <c r="B438" s="8" t="n"/>
      <c r="C438" s="8" t="n"/>
      <c r="D438" s="8" t="n"/>
      <c r="E438" s="30" t="n"/>
      <c r="F438" s="12" t="n"/>
      <c r="G438" s="29">
        <f>IF(OR(E438="",F438=""),"",ROUND(E438*F438,2))</f>
        <v/>
      </c>
      <c r="H438" s="11" t="n"/>
      <c r="I438" s="10" t="n"/>
      <c r="J438" s="8" t="n"/>
    </row>
    <row r="439">
      <c r="B439" s="8" t="n"/>
      <c r="C439" s="8" t="n"/>
      <c r="D439" s="8" t="n"/>
      <c r="E439" s="30" t="n"/>
      <c r="F439" s="12" t="n"/>
      <c r="G439" s="29">
        <f>IF(OR(E439="",F439=""),"",ROUND(E439*F439,2))</f>
        <v/>
      </c>
      <c r="H439" s="11" t="n"/>
      <c r="I439" s="10" t="n"/>
      <c r="J439" s="8" t="n"/>
    </row>
    <row r="440">
      <c r="B440" s="8" t="n"/>
      <c r="C440" s="8" t="n"/>
      <c r="D440" s="8" t="n"/>
      <c r="E440" s="30" t="n"/>
      <c r="F440" s="12" t="n"/>
      <c r="G440" s="29">
        <f>IF(OR(E440="",F440=""),"",ROUND(E440*F440,2))</f>
        <v/>
      </c>
      <c r="H440" s="11" t="n"/>
      <c r="I440" s="10" t="n"/>
      <c r="J440" s="8" t="n"/>
    </row>
    <row r="441">
      <c r="B441" s="8" t="n"/>
      <c r="C441" s="8" t="n"/>
      <c r="D441" s="8" t="n"/>
      <c r="E441" s="30" t="n"/>
      <c r="F441" s="12" t="n"/>
      <c r="G441" s="29">
        <f>IF(OR(E441="",F441=""),"",ROUND(E441*F441,2))</f>
        <v/>
      </c>
      <c r="H441" s="11" t="n"/>
      <c r="I441" s="10" t="n"/>
      <c r="J441" s="8" t="n"/>
    </row>
    <row r="442">
      <c r="B442" s="8" t="n"/>
      <c r="C442" s="8" t="n"/>
      <c r="D442" s="8" t="n"/>
      <c r="E442" s="30" t="n"/>
      <c r="F442" s="12" t="n"/>
      <c r="G442" s="29">
        <f>IF(OR(E442="",F442=""),"",ROUND(E442*F442,2))</f>
        <v/>
      </c>
      <c r="H442" s="11" t="n"/>
      <c r="I442" s="10" t="n"/>
      <c r="J442" s="8" t="n"/>
    </row>
    <row r="443">
      <c r="B443" s="8" t="n"/>
      <c r="C443" s="8" t="n"/>
      <c r="D443" s="8" t="n"/>
      <c r="E443" s="30" t="n"/>
      <c r="F443" s="12" t="n"/>
      <c r="G443" s="29">
        <f>IF(OR(E443="",F443=""),"",ROUND(E443*F443,2))</f>
        <v/>
      </c>
      <c r="H443" s="11" t="n"/>
      <c r="I443" s="10" t="n"/>
      <c r="J443" s="8" t="n"/>
    </row>
    <row r="444">
      <c r="B444" s="8" t="n"/>
      <c r="C444" s="8" t="n"/>
      <c r="D444" s="8" t="n"/>
      <c r="E444" s="30" t="n"/>
      <c r="F444" s="12" t="n"/>
      <c r="G444" s="29">
        <f>IF(OR(E444="",F444=""),"",ROUND(E444*F444,2))</f>
        <v/>
      </c>
      <c r="H444" s="11" t="n"/>
      <c r="I444" s="10" t="n"/>
      <c r="J444" s="8" t="n"/>
    </row>
    <row r="445">
      <c r="B445" s="8" t="n"/>
      <c r="C445" s="8" t="n"/>
      <c r="D445" s="8" t="n"/>
      <c r="E445" s="30" t="n"/>
      <c r="F445" s="12" t="n"/>
      <c r="G445" s="29">
        <f>IF(OR(E445="",F445=""),"",ROUND(E445*F445,2))</f>
        <v/>
      </c>
      <c r="H445" s="11" t="n"/>
      <c r="I445" s="10" t="n"/>
      <c r="J445" s="8" t="n"/>
    </row>
    <row r="446">
      <c r="B446" s="8" t="n"/>
      <c r="C446" s="8" t="n"/>
      <c r="D446" s="8" t="n"/>
      <c r="E446" s="30" t="n"/>
      <c r="F446" s="12" t="n"/>
      <c r="G446" s="29">
        <f>IF(OR(E446="",F446=""),"",ROUND(E446*F446,2))</f>
        <v/>
      </c>
      <c r="H446" s="11" t="n"/>
      <c r="I446" s="10" t="n"/>
      <c r="J446" s="8" t="n"/>
    </row>
    <row r="447">
      <c r="B447" s="8" t="n"/>
      <c r="C447" s="8" t="n"/>
      <c r="D447" s="8" t="n"/>
      <c r="E447" s="30" t="n"/>
      <c r="F447" s="12" t="n"/>
      <c r="G447" s="29">
        <f>IF(OR(E447="",F447=""),"",ROUND(E447*F447,2))</f>
        <v/>
      </c>
      <c r="H447" s="11" t="n"/>
      <c r="I447" s="10" t="n"/>
      <c r="J447" s="8" t="n"/>
    </row>
    <row r="448">
      <c r="B448" s="8" t="n"/>
      <c r="C448" s="8" t="n"/>
      <c r="D448" s="8" t="n"/>
      <c r="E448" s="30" t="n"/>
      <c r="F448" s="12" t="n"/>
      <c r="G448" s="29">
        <f>IF(OR(E448="",F448=""),"",ROUND(E448*F448,2))</f>
        <v/>
      </c>
      <c r="H448" s="11" t="n"/>
      <c r="I448" s="10" t="n"/>
      <c r="J448" s="8" t="n"/>
    </row>
    <row r="449">
      <c r="B449" s="8" t="n"/>
      <c r="C449" s="8" t="n"/>
      <c r="D449" s="8" t="n"/>
      <c r="E449" s="30" t="n"/>
      <c r="F449" s="12" t="n"/>
      <c r="G449" s="29">
        <f>IF(OR(E449="",F449=""),"",ROUND(E449*F449,2))</f>
        <v/>
      </c>
      <c r="H449" s="11" t="n"/>
      <c r="I449" s="10" t="n"/>
      <c r="J449" s="8" t="n"/>
    </row>
    <row r="450">
      <c r="B450" s="8" t="n"/>
      <c r="C450" s="8" t="n"/>
      <c r="D450" s="8" t="n"/>
      <c r="E450" s="30" t="n"/>
      <c r="F450" s="12" t="n"/>
      <c r="G450" s="29">
        <f>IF(OR(E450="",F450=""),"",ROUND(E450*F450,2))</f>
        <v/>
      </c>
      <c r="H450" s="11" t="n"/>
      <c r="I450" s="10" t="n"/>
      <c r="J450" s="8" t="n"/>
    </row>
    <row r="451">
      <c r="B451" s="8" t="n"/>
      <c r="C451" s="8" t="n"/>
      <c r="D451" s="8" t="n"/>
      <c r="E451" s="30" t="n"/>
      <c r="F451" s="12" t="n"/>
      <c r="G451" s="29">
        <f>IF(OR(E451="",F451=""),"",ROUND(E451*F451,2))</f>
        <v/>
      </c>
      <c r="H451" s="11" t="n"/>
      <c r="I451" s="10" t="n"/>
      <c r="J451" s="8" t="n"/>
    </row>
    <row r="452">
      <c r="B452" s="8" t="n"/>
      <c r="C452" s="8" t="n"/>
      <c r="D452" s="8" t="n"/>
      <c r="E452" s="30" t="n"/>
      <c r="F452" s="12" t="n"/>
      <c r="G452" s="29">
        <f>IF(OR(E452="",F452=""),"",ROUND(E452*F452,2))</f>
        <v/>
      </c>
      <c r="H452" s="11" t="n"/>
      <c r="I452" s="10" t="n"/>
      <c r="J452" s="8" t="n"/>
    </row>
    <row r="453">
      <c r="B453" s="8" t="n"/>
      <c r="C453" s="8" t="n"/>
      <c r="D453" s="8" t="n"/>
      <c r="E453" s="30" t="n"/>
      <c r="F453" s="12" t="n"/>
      <c r="G453" s="29">
        <f>IF(OR(E453="",F453=""),"",ROUND(E453*F453,2))</f>
        <v/>
      </c>
      <c r="H453" s="11" t="n"/>
      <c r="I453" s="10" t="n"/>
      <c r="J453" s="8" t="n"/>
    </row>
    <row r="454">
      <c r="B454" s="8" t="n"/>
      <c r="C454" s="8" t="n"/>
      <c r="D454" s="8" t="n"/>
      <c r="E454" s="30" t="n"/>
      <c r="F454" s="12" t="n"/>
      <c r="G454" s="29">
        <f>IF(OR(E454="",F454=""),"",ROUND(E454*F454,2))</f>
        <v/>
      </c>
      <c r="H454" s="11" t="n"/>
      <c r="I454" s="10" t="n"/>
      <c r="J454" s="8" t="n"/>
    </row>
    <row r="455">
      <c r="B455" s="8" t="n"/>
      <c r="C455" s="8" t="n"/>
      <c r="D455" s="8" t="n"/>
      <c r="E455" s="30" t="n"/>
      <c r="F455" s="12" t="n"/>
      <c r="G455" s="29">
        <f>IF(OR(E455="",F455=""),"",ROUND(E455*F455,2))</f>
        <v/>
      </c>
      <c r="H455" s="11" t="n"/>
      <c r="I455" s="10" t="n"/>
      <c r="J455" s="8" t="n"/>
    </row>
    <row r="456">
      <c r="B456" s="8" t="n"/>
      <c r="C456" s="8" t="n"/>
      <c r="D456" s="8" t="n"/>
      <c r="E456" s="30" t="n"/>
      <c r="F456" s="12" t="n"/>
      <c r="G456" s="29">
        <f>IF(OR(E456="",F456=""),"",ROUND(E456*F456,2))</f>
        <v/>
      </c>
      <c r="H456" s="11" t="n"/>
      <c r="I456" s="10" t="n"/>
      <c r="J456" s="8" t="n"/>
    </row>
    <row r="457">
      <c r="B457" s="8" t="n"/>
      <c r="C457" s="8" t="n"/>
      <c r="D457" s="8" t="n"/>
      <c r="E457" s="30" t="n"/>
      <c r="F457" s="12" t="n"/>
      <c r="G457" s="29">
        <f>IF(OR(E457="",F457=""),"",ROUND(E457*F457,2))</f>
        <v/>
      </c>
      <c r="H457" s="11" t="n"/>
      <c r="I457" s="10" t="n"/>
      <c r="J457" s="8" t="n"/>
    </row>
    <row r="458">
      <c r="B458" s="8" t="n"/>
      <c r="C458" s="8" t="n"/>
      <c r="D458" s="8" t="n"/>
      <c r="E458" s="30" t="n"/>
      <c r="F458" s="12" t="n"/>
      <c r="G458" s="29">
        <f>IF(OR(E458="",F458=""),"",ROUND(E458*F458,2))</f>
        <v/>
      </c>
      <c r="H458" s="11" t="n"/>
      <c r="I458" s="10" t="n"/>
      <c r="J458" s="8" t="n"/>
    </row>
    <row r="459">
      <c r="B459" s="8" t="n"/>
      <c r="C459" s="8" t="n"/>
      <c r="D459" s="8" t="n"/>
      <c r="E459" s="30" t="n"/>
      <c r="F459" s="12" t="n"/>
      <c r="G459" s="29">
        <f>IF(OR(E459="",F459=""),"",ROUND(E459*F459,2))</f>
        <v/>
      </c>
      <c r="H459" s="11" t="n"/>
      <c r="I459" s="10" t="n"/>
      <c r="J459" s="8" t="n"/>
    </row>
    <row r="460">
      <c r="B460" s="8" t="n"/>
      <c r="C460" s="8" t="n"/>
      <c r="D460" s="8" t="n"/>
      <c r="E460" s="30" t="n"/>
      <c r="F460" s="12" t="n"/>
      <c r="G460" s="29">
        <f>IF(OR(E460="",F460=""),"",ROUND(E460*F460,2))</f>
        <v/>
      </c>
      <c r="H460" s="11" t="n"/>
      <c r="I460" s="10" t="n"/>
      <c r="J460" s="8" t="n"/>
    </row>
    <row r="461">
      <c r="B461" s="8" t="n"/>
      <c r="C461" s="8" t="n"/>
      <c r="D461" s="8" t="n"/>
      <c r="E461" s="30" t="n"/>
      <c r="F461" s="12" t="n"/>
      <c r="G461" s="29">
        <f>IF(OR(E461="",F461=""),"",ROUND(E461*F461,2))</f>
        <v/>
      </c>
      <c r="H461" s="11" t="n"/>
      <c r="I461" s="10" t="n"/>
      <c r="J461" s="8" t="n"/>
    </row>
    <row r="462">
      <c r="B462" s="8" t="n"/>
      <c r="C462" s="8" t="n"/>
      <c r="D462" s="8" t="n"/>
      <c r="E462" s="30" t="n"/>
      <c r="F462" s="12" t="n"/>
      <c r="G462" s="29">
        <f>IF(OR(E462="",F462=""),"",ROUND(E462*F462,2))</f>
        <v/>
      </c>
      <c r="H462" s="11" t="n"/>
      <c r="I462" s="10" t="n"/>
      <c r="J462" s="8" t="n"/>
    </row>
    <row r="463">
      <c r="B463" s="8" t="n"/>
      <c r="C463" s="8" t="n"/>
      <c r="D463" s="8" t="n"/>
      <c r="E463" s="30" t="n"/>
      <c r="F463" s="12" t="n"/>
      <c r="G463" s="29">
        <f>IF(OR(E463="",F463=""),"",ROUND(E463*F463,2))</f>
        <v/>
      </c>
      <c r="H463" s="11" t="n"/>
      <c r="I463" s="10" t="n"/>
      <c r="J463" s="8" t="n"/>
    </row>
    <row r="464">
      <c r="B464" s="8" t="n"/>
      <c r="C464" s="8" t="n"/>
      <c r="D464" s="8" t="n"/>
      <c r="E464" s="30" t="n"/>
      <c r="F464" s="12" t="n"/>
      <c r="G464" s="29">
        <f>IF(OR(E464="",F464=""),"",ROUND(E464*F464,2))</f>
        <v/>
      </c>
      <c r="H464" s="11" t="n"/>
      <c r="I464" s="10" t="n"/>
      <c r="J464" s="8" t="n"/>
    </row>
    <row r="465">
      <c r="B465" s="8" t="n"/>
      <c r="C465" s="8" t="n"/>
      <c r="D465" s="8" t="n"/>
      <c r="E465" s="30" t="n"/>
      <c r="F465" s="12" t="n"/>
      <c r="G465" s="29">
        <f>IF(OR(E465="",F465=""),"",ROUND(E465*F465,2))</f>
        <v/>
      </c>
      <c r="H465" s="11" t="n"/>
      <c r="I465" s="10" t="n"/>
      <c r="J465" s="8" t="n"/>
    </row>
    <row r="466">
      <c r="B466" s="8" t="n"/>
      <c r="C466" s="8" t="n"/>
      <c r="D466" s="8" t="n"/>
      <c r="E466" s="30" t="n"/>
      <c r="F466" s="12" t="n"/>
      <c r="G466" s="29">
        <f>IF(OR(E466="",F466=""),"",ROUND(E466*F466,2))</f>
        <v/>
      </c>
      <c r="H466" s="11" t="n"/>
      <c r="I466" s="10" t="n"/>
      <c r="J466" s="8" t="n"/>
    </row>
    <row r="467">
      <c r="B467" s="8" t="n"/>
      <c r="C467" s="8" t="n"/>
      <c r="D467" s="8" t="n"/>
      <c r="E467" s="30" t="n"/>
      <c r="F467" s="12" t="n"/>
      <c r="G467" s="29">
        <f>IF(OR(E467="",F467=""),"",ROUND(E467*F467,2))</f>
        <v/>
      </c>
      <c r="H467" s="11" t="n"/>
      <c r="I467" s="10" t="n"/>
      <c r="J467" s="8" t="n"/>
    </row>
    <row r="468">
      <c r="B468" s="8" t="n"/>
      <c r="C468" s="8" t="n"/>
      <c r="D468" s="8" t="n"/>
      <c r="E468" s="30" t="n"/>
      <c r="F468" s="12" t="n"/>
      <c r="G468" s="29">
        <f>IF(OR(E468="",F468=""),"",ROUND(E468*F468,2))</f>
        <v/>
      </c>
      <c r="H468" s="11" t="n"/>
      <c r="I468" s="10" t="n"/>
      <c r="J468" s="8" t="n"/>
    </row>
    <row r="469">
      <c r="B469" s="8" t="n"/>
      <c r="C469" s="8" t="n"/>
      <c r="D469" s="8" t="n"/>
      <c r="E469" s="30" t="n"/>
      <c r="F469" s="12" t="n"/>
      <c r="G469" s="29">
        <f>IF(OR(E469="",F469=""),"",ROUND(E469*F469,2))</f>
        <v/>
      </c>
      <c r="H469" s="11" t="n"/>
      <c r="I469" s="10" t="n"/>
      <c r="J469" s="8" t="n"/>
    </row>
    <row r="470">
      <c r="B470" s="8" t="n"/>
      <c r="C470" s="8" t="n"/>
      <c r="D470" s="8" t="n"/>
      <c r="E470" s="30" t="n"/>
      <c r="F470" s="12" t="n"/>
      <c r="G470" s="29">
        <f>IF(OR(E470="",F470=""),"",ROUND(E470*F470,2))</f>
        <v/>
      </c>
      <c r="H470" s="11" t="n"/>
      <c r="I470" s="10" t="n"/>
      <c r="J470" s="8" t="n"/>
    </row>
    <row r="471">
      <c r="B471" s="8" t="n"/>
      <c r="C471" s="8" t="n"/>
      <c r="D471" s="8" t="n"/>
      <c r="E471" s="30" t="n"/>
      <c r="F471" s="12" t="n"/>
      <c r="G471" s="29">
        <f>IF(OR(E471="",F471=""),"",ROUND(E471*F471,2))</f>
        <v/>
      </c>
      <c r="H471" s="11" t="n"/>
      <c r="I471" s="10" t="n"/>
      <c r="J471" s="8" t="n"/>
    </row>
    <row r="472">
      <c r="B472" s="8" t="n"/>
      <c r="C472" s="8" t="n"/>
      <c r="D472" s="8" t="n"/>
      <c r="E472" s="30" t="n"/>
      <c r="F472" s="12" t="n"/>
      <c r="G472" s="29">
        <f>IF(OR(E472="",F472=""),"",ROUND(E472*F472,2))</f>
        <v/>
      </c>
      <c r="H472" s="11" t="n"/>
      <c r="I472" s="10" t="n"/>
      <c r="J472" s="8" t="n"/>
    </row>
    <row r="473">
      <c r="B473" s="8" t="n"/>
      <c r="C473" s="8" t="n"/>
      <c r="D473" s="8" t="n"/>
      <c r="E473" s="30" t="n"/>
      <c r="F473" s="12" t="n"/>
      <c r="G473" s="29">
        <f>IF(OR(E473="",F473=""),"",ROUND(E473*F473,2))</f>
        <v/>
      </c>
      <c r="H473" s="11" t="n"/>
      <c r="I473" s="10" t="n"/>
      <c r="J473" s="8" t="n"/>
    </row>
    <row r="474">
      <c r="B474" s="8" t="n"/>
      <c r="C474" s="8" t="n"/>
      <c r="D474" s="8" t="n"/>
      <c r="E474" s="30" t="n"/>
      <c r="F474" s="12" t="n"/>
      <c r="G474" s="29">
        <f>IF(OR(E474="",F474=""),"",ROUND(E474*F474,2))</f>
        <v/>
      </c>
      <c r="H474" s="11" t="n"/>
      <c r="I474" s="10" t="n"/>
      <c r="J474" s="8" t="n"/>
    </row>
    <row r="475">
      <c r="B475" s="8" t="n"/>
      <c r="C475" s="8" t="n"/>
      <c r="D475" s="8" t="n"/>
      <c r="E475" s="30" t="n"/>
      <c r="F475" s="12" t="n"/>
      <c r="G475" s="29">
        <f>IF(OR(E475="",F475=""),"",ROUND(E475*F475,2))</f>
        <v/>
      </c>
      <c r="H475" s="11" t="n"/>
      <c r="I475" s="10" t="n"/>
      <c r="J475" s="8" t="n"/>
    </row>
    <row r="476">
      <c r="B476" s="8" t="n"/>
      <c r="C476" s="8" t="n"/>
      <c r="D476" s="8" t="n"/>
      <c r="E476" s="30" t="n"/>
      <c r="F476" s="12" t="n"/>
      <c r="G476" s="29">
        <f>IF(OR(E476="",F476=""),"",ROUND(E476*F476,2))</f>
        <v/>
      </c>
      <c r="H476" s="11" t="n"/>
      <c r="I476" s="10" t="n"/>
      <c r="J476" s="8" t="n"/>
    </row>
    <row r="477">
      <c r="B477" s="8" t="n"/>
      <c r="C477" s="8" t="n"/>
      <c r="D477" s="8" t="n"/>
      <c r="E477" s="30" t="n"/>
      <c r="F477" s="12" t="n"/>
      <c r="G477" s="29">
        <f>IF(OR(E477="",F477=""),"",ROUND(E477*F477,2))</f>
        <v/>
      </c>
      <c r="H477" s="11" t="n"/>
      <c r="I477" s="10" t="n"/>
      <c r="J477" s="8" t="n"/>
    </row>
    <row r="478">
      <c r="B478" s="8" t="n"/>
      <c r="C478" s="8" t="n"/>
      <c r="D478" s="8" t="n"/>
      <c r="E478" s="30" t="n"/>
      <c r="F478" s="12" t="n"/>
      <c r="G478" s="29">
        <f>IF(OR(E478="",F478=""),"",ROUND(E478*F478,2))</f>
        <v/>
      </c>
      <c r="H478" s="11" t="n"/>
      <c r="I478" s="10" t="n"/>
      <c r="J478" s="8" t="n"/>
    </row>
    <row r="479">
      <c r="B479" s="8" t="n"/>
      <c r="C479" s="8" t="n"/>
      <c r="D479" s="8" t="n"/>
      <c r="E479" s="30" t="n"/>
      <c r="F479" s="12" t="n"/>
      <c r="G479" s="29">
        <f>IF(OR(E479="",F479=""),"",ROUND(E479*F479,2))</f>
        <v/>
      </c>
      <c r="H479" s="11" t="n"/>
      <c r="I479" s="10" t="n"/>
      <c r="J479" s="8" t="n"/>
    </row>
    <row r="480">
      <c r="B480" s="8" t="n"/>
      <c r="C480" s="8" t="n"/>
      <c r="D480" s="8" t="n"/>
      <c r="E480" s="30" t="n"/>
      <c r="F480" s="12" t="n"/>
      <c r="G480" s="29">
        <f>IF(OR(E480="",F480=""),"",ROUND(E480*F480,2))</f>
        <v/>
      </c>
      <c r="H480" s="11" t="n"/>
      <c r="I480" s="10" t="n"/>
      <c r="J480" s="8" t="n"/>
    </row>
    <row r="481">
      <c r="B481" s="8" t="n"/>
      <c r="C481" s="8" t="n"/>
      <c r="D481" s="8" t="n"/>
      <c r="E481" s="30" t="n"/>
      <c r="F481" s="12" t="n"/>
      <c r="G481" s="29">
        <f>IF(OR(E481="",F481=""),"",ROUND(E481*F481,2))</f>
        <v/>
      </c>
      <c r="H481" s="11" t="n"/>
      <c r="I481" s="10" t="n"/>
      <c r="J481" s="8" t="n"/>
    </row>
    <row r="482">
      <c r="B482" s="8" t="n"/>
      <c r="C482" s="8" t="n"/>
      <c r="D482" s="8" t="n"/>
      <c r="E482" s="30" t="n"/>
      <c r="F482" s="12" t="n"/>
      <c r="G482" s="29">
        <f>IF(OR(E482="",F482=""),"",ROUND(E482*F482,2))</f>
        <v/>
      </c>
      <c r="H482" s="11" t="n"/>
      <c r="I482" s="10" t="n"/>
      <c r="J482" s="8" t="n"/>
    </row>
    <row r="483">
      <c r="B483" s="8" t="n"/>
      <c r="C483" s="8" t="n"/>
      <c r="D483" s="8" t="n"/>
      <c r="E483" s="30" t="n"/>
      <c r="F483" s="12" t="n"/>
      <c r="G483" s="29">
        <f>IF(OR(E483="",F483=""),"",ROUND(E483*F483,2))</f>
        <v/>
      </c>
      <c r="H483" s="11" t="n"/>
      <c r="I483" s="10" t="n"/>
      <c r="J483" s="8" t="n"/>
    </row>
    <row r="484">
      <c r="B484" s="8" t="n"/>
      <c r="C484" s="8" t="n"/>
      <c r="D484" s="8" t="n"/>
      <c r="E484" s="30" t="n"/>
      <c r="F484" s="12" t="n"/>
      <c r="G484" s="29">
        <f>IF(OR(E484="",F484=""),"",ROUND(E484*F484,2))</f>
        <v/>
      </c>
      <c r="H484" s="11" t="n"/>
      <c r="I484" s="10" t="n"/>
      <c r="J484" s="8" t="n"/>
    </row>
    <row r="485">
      <c r="B485" s="8" t="n"/>
      <c r="C485" s="8" t="n"/>
      <c r="D485" s="8" t="n"/>
      <c r="E485" s="30" t="n"/>
      <c r="F485" s="12" t="n"/>
      <c r="G485" s="29">
        <f>IF(OR(E485="",F485=""),"",ROUND(E485*F485,2))</f>
        <v/>
      </c>
      <c r="H485" s="11" t="n"/>
      <c r="I485" s="10" t="n"/>
      <c r="J485" s="8" t="n"/>
    </row>
    <row r="486">
      <c r="B486" s="8" t="n"/>
      <c r="C486" s="8" t="n"/>
      <c r="D486" s="8" t="n"/>
      <c r="E486" s="30" t="n"/>
      <c r="F486" s="12" t="n"/>
      <c r="G486" s="29">
        <f>IF(OR(E486="",F486=""),"",ROUND(E486*F486,2))</f>
        <v/>
      </c>
      <c r="H486" s="11" t="n"/>
      <c r="I486" s="10" t="n"/>
      <c r="J486" s="8" t="n"/>
    </row>
    <row r="487">
      <c r="B487" s="8" t="n"/>
      <c r="C487" s="8" t="n"/>
      <c r="D487" s="8" t="n"/>
      <c r="E487" s="30" t="n"/>
      <c r="F487" s="12" t="n"/>
      <c r="G487" s="29">
        <f>IF(OR(E487="",F487=""),"",ROUND(E487*F487,2))</f>
        <v/>
      </c>
      <c r="H487" s="11" t="n"/>
      <c r="I487" s="10" t="n"/>
      <c r="J487" s="8" t="n"/>
    </row>
    <row r="488">
      <c r="B488" s="8" t="n"/>
      <c r="C488" s="8" t="n"/>
      <c r="D488" s="8" t="n"/>
      <c r="E488" s="30" t="n"/>
      <c r="F488" s="12" t="n"/>
      <c r="G488" s="29">
        <f>IF(OR(E488="",F488=""),"",ROUND(E488*F488,2))</f>
        <v/>
      </c>
      <c r="H488" s="11" t="n"/>
      <c r="I488" s="10" t="n"/>
      <c r="J488" s="8" t="n"/>
    </row>
    <row r="489">
      <c r="B489" s="8" t="n"/>
      <c r="C489" s="8" t="n"/>
      <c r="D489" s="8" t="n"/>
      <c r="E489" s="30" t="n"/>
      <c r="F489" s="12" t="n"/>
      <c r="G489" s="29">
        <f>IF(OR(E489="",F489=""),"",ROUND(E489*F489,2))</f>
        <v/>
      </c>
      <c r="H489" s="11" t="n"/>
      <c r="I489" s="10" t="n"/>
      <c r="J489" s="8" t="n"/>
    </row>
    <row r="490">
      <c r="B490" s="8" t="n"/>
      <c r="C490" s="8" t="n"/>
      <c r="D490" s="8" t="n"/>
      <c r="E490" s="30" t="n"/>
      <c r="F490" s="12" t="n"/>
      <c r="G490" s="29">
        <f>IF(OR(E490="",F490=""),"",ROUND(E490*F490,2))</f>
        <v/>
      </c>
      <c r="H490" s="11" t="n"/>
      <c r="I490" s="10" t="n"/>
      <c r="J490" s="8" t="n"/>
    </row>
    <row r="491">
      <c r="B491" s="8" t="n"/>
      <c r="C491" s="8" t="n"/>
      <c r="D491" s="8" t="n"/>
      <c r="E491" s="30" t="n"/>
      <c r="F491" s="12" t="n"/>
      <c r="G491" s="29">
        <f>IF(OR(E491="",F491=""),"",ROUND(E491*F491,2))</f>
        <v/>
      </c>
      <c r="H491" s="11" t="n"/>
      <c r="I491" s="10" t="n"/>
      <c r="J491" s="8" t="n"/>
    </row>
    <row r="492">
      <c r="B492" s="8" t="n"/>
      <c r="C492" s="8" t="n"/>
      <c r="D492" s="8" t="n"/>
      <c r="E492" s="30" t="n"/>
      <c r="F492" s="12" t="n"/>
      <c r="G492" s="29">
        <f>IF(OR(E492="",F492=""),"",ROUND(E492*F492,2))</f>
        <v/>
      </c>
      <c r="H492" s="11" t="n"/>
      <c r="I492" s="10" t="n"/>
      <c r="J492" s="8" t="n"/>
    </row>
    <row r="493">
      <c r="B493" s="8" t="n"/>
      <c r="C493" s="8" t="n"/>
      <c r="D493" s="8" t="n"/>
      <c r="E493" s="30" t="n"/>
      <c r="F493" s="12" t="n"/>
      <c r="G493" s="29">
        <f>IF(OR(E493="",F493=""),"",ROUND(E493*F493,2))</f>
        <v/>
      </c>
      <c r="H493" s="11" t="n"/>
      <c r="I493" s="10" t="n"/>
      <c r="J493" s="8" t="n"/>
    </row>
    <row r="494">
      <c r="B494" s="8" t="n"/>
      <c r="C494" s="8" t="n"/>
      <c r="D494" s="8" t="n"/>
      <c r="E494" s="30" t="n"/>
      <c r="F494" s="12" t="n"/>
      <c r="G494" s="29">
        <f>IF(OR(E494="",F494=""),"",ROUND(E494*F494,2))</f>
        <v/>
      </c>
      <c r="H494" s="11" t="n"/>
      <c r="I494" s="10" t="n"/>
      <c r="J494" s="8" t="n"/>
    </row>
    <row r="495">
      <c r="B495" s="8" t="n"/>
      <c r="C495" s="8" t="n"/>
      <c r="D495" s="8" t="n"/>
      <c r="E495" s="30" t="n"/>
      <c r="F495" s="12" t="n"/>
      <c r="G495" s="29">
        <f>IF(OR(E495="",F495=""),"",ROUND(E495*F495,2))</f>
        <v/>
      </c>
      <c r="H495" s="11" t="n"/>
      <c r="I495" s="10" t="n"/>
      <c r="J495" s="8" t="n"/>
    </row>
    <row r="496">
      <c r="B496" s="8" t="n"/>
      <c r="C496" s="8" t="n"/>
      <c r="D496" s="8" t="n"/>
      <c r="E496" s="30" t="n"/>
      <c r="F496" s="12" t="n"/>
      <c r="G496" s="29">
        <f>IF(OR(E496="",F496=""),"",ROUND(E496*F496,2))</f>
        <v/>
      </c>
      <c r="H496" s="11" t="n"/>
      <c r="I496" s="10" t="n"/>
      <c r="J496" s="8" t="n"/>
    </row>
    <row r="497">
      <c r="B497" s="8" t="n"/>
      <c r="C497" s="8" t="n"/>
      <c r="D497" s="8" t="n"/>
      <c r="E497" s="30" t="n"/>
      <c r="F497" s="12" t="n"/>
      <c r="G497" s="29">
        <f>IF(OR(E497="",F497=""),"",ROUND(E497*F497,2))</f>
        <v/>
      </c>
      <c r="H497" s="11" t="n"/>
      <c r="I497" s="10" t="n"/>
      <c r="J497" s="8" t="n"/>
    </row>
    <row r="498">
      <c r="B498" s="8" t="n"/>
      <c r="C498" s="8" t="n"/>
      <c r="D498" s="8" t="n"/>
      <c r="E498" s="30" t="n"/>
      <c r="F498" s="12" t="n"/>
      <c r="G498" s="29">
        <f>IF(OR(E498="",F498=""),"",ROUND(E498*F498,2))</f>
        <v/>
      </c>
      <c r="H498" s="11" t="n"/>
      <c r="I498" s="10" t="n"/>
      <c r="J498" s="8" t="n"/>
    </row>
    <row r="499">
      <c r="B499" s="8" t="n"/>
      <c r="C499" s="8" t="n"/>
      <c r="D499" s="8" t="n"/>
      <c r="E499" s="30" t="n"/>
      <c r="F499" s="12" t="n"/>
      <c r="G499" s="29">
        <f>IF(OR(E499="",F499=""),"",ROUND(E499*F499,2))</f>
        <v/>
      </c>
      <c r="H499" s="11" t="n"/>
      <c r="I499" s="10" t="n"/>
      <c r="J499" s="8" t="n"/>
    </row>
    <row r="500">
      <c r="B500" s="8" t="n"/>
      <c r="C500" s="8" t="n"/>
      <c r="D500" s="8" t="n"/>
      <c r="E500" s="30" t="n"/>
      <c r="F500" s="12" t="n"/>
      <c r="G500" s="29">
        <f>IF(OR(E500="",F500=""),"",ROUND(E500*F500,2))</f>
        <v/>
      </c>
      <c r="H500" s="11" t="n"/>
      <c r="I500" s="10" t="n"/>
      <c r="J500" s="8" t="n"/>
    </row>
  </sheetData>
  <autoFilter ref="B5:J500"/>
  <dataValidations count="2">
    <dataValidation sqref="B6:B500" showDropDown="0" showInputMessage="0" showErrorMessage="1" allowBlank="1" errorTitle="Área fora da lista" error="Essa área não está na lista. Se for nova, acrescente na aba ÁREAS para ela aparecer no RESUMO." type="list" errorStyle="warning">
      <formula1>'AREAS'!$A$2:$A$14</formula1>
    </dataValidation>
    <dataValidation sqref="H6:H500" showDropDown="0" showInputMessage="0" showErrorMessage="0" allowBlank="1" type="list">
      <formula1>"A PAGAR,PAGO"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2026-08-10T16:22:53Z</dcterms:created>
  <dcterms:modified xsi:type="dcterms:W3CDTF">2026-08-10T16:22:54Z</dcterms:modified>
</cp:coreProperties>
</file>